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a.campos\Desktop\"/>
    </mc:Choice>
  </mc:AlternateContent>
  <xr:revisionPtr revIDLastSave="0" documentId="13_ncr:1_{11ECE1E9-9B6C-48BD-9468-00FEF507E70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REENCHER" sheetId="2" r:id="rId1"/>
    <sheet name="DOUBLECHECK" sheetId="1" r:id="rId2"/>
    <sheet name="MASCARA" sheetId="3" r:id="rId3"/>
  </sheets>
  <definedNames>
    <definedName name="_xlnm.Print_Area" localSheetId="1">DOUBLECHECK!$B$1:$L$49</definedName>
    <definedName name="_xlnm.Print_Area" localSheetId="0">PREENCHER!$A$1:$H$51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3" l="1"/>
  <c r="A7" i="3"/>
  <c r="A5" i="3"/>
  <c r="A3" i="3"/>
  <c r="B2" i="1"/>
  <c r="C21" i="1" l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B21" i="1"/>
  <c r="G21" i="1" s="1"/>
  <c r="B22" i="1"/>
  <c r="H22" i="1" s="1"/>
  <c r="B23" i="1"/>
  <c r="H23" i="1" s="1"/>
  <c r="B24" i="1"/>
  <c r="H24" i="1" s="1"/>
  <c r="B25" i="1"/>
  <c r="G25" i="1" s="1"/>
  <c r="B26" i="1"/>
  <c r="H26" i="1" s="1"/>
  <c r="B27" i="1"/>
  <c r="H27" i="1" s="1"/>
  <c r="B28" i="1"/>
  <c r="H28" i="1" s="1"/>
  <c r="B29" i="1"/>
  <c r="G29" i="1" s="1"/>
  <c r="B30" i="1"/>
  <c r="H30" i="1" s="1"/>
  <c r="B31" i="1"/>
  <c r="H31" i="1" s="1"/>
  <c r="B32" i="1"/>
  <c r="H32" i="1" s="1"/>
  <c r="B33" i="1"/>
  <c r="G33" i="1" s="1"/>
  <c r="B34" i="1"/>
  <c r="H34" i="1" s="1"/>
  <c r="B35" i="1"/>
  <c r="H35" i="1" s="1"/>
  <c r="B36" i="1"/>
  <c r="H36" i="1" s="1"/>
  <c r="B37" i="1"/>
  <c r="G37" i="1" s="1"/>
  <c r="B38" i="1"/>
  <c r="H38" i="1" s="1"/>
  <c r="B39" i="1"/>
  <c r="H39" i="1" s="1"/>
  <c r="B40" i="1"/>
  <c r="H40" i="1" s="1"/>
  <c r="B41" i="1"/>
  <c r="G41" i="1" s="1"/>
  <c r="B42" i="1"/>
  <c r="H42" i="1" s="1"/>
  <c r="B43" i="1"/>
  <c r="H43" i="1" s="1"/>
  <c r="B44" i="1"/>
  <c r="H44" i="1" s="1"/>
  <c r="B45" i="1"/>
  <c r="G45" i="1" s="1"/>
  <c r="B46" i="1"/>
  <c r="H46" i="1" s="1"/>
  <c r="B47" i="1"/>
  <c r="H47" i="1" s="1"/>
  <c r="B48" i="1"/>
  <c r="H48" i="1" s="1"/>
  <c r="B5" i="1"/>
  <c r="H5" i="1" s="1"/>
  <c r="B6" i="1"/>
  <c r="H6" i="1" s="1"/>
  <c r="B7" i="1"/>
  <c r="H7" i="1" s="1"/>
  <c r="B8" i="1"/>
  <c r="G8" i="1" s="1"/>
  <c r="B9" i="1"/>
  <c r="G9" i="1" s="1"/>
  <c r="B10" i="1"/>
  <c r="H10" i="1" s="1"/>
  <c r="B11" i="1"/>
  <c r="G11" i="1" s="1"/>
  <c r="B12" i="1"/>
  <c r="H12" i="1" s="1"/>
  <c r="B13" i="1"/>
  <c r="G13" i="1" s="1"/>
  <c r="B14" i="1"/>
  <c r="H14" i="1" s="1"/>
  <c r="B15" i="1"/>
  <c r="G15" i="1" s="1"/>
  <c r="B16" i="1"/>
  <c r="G16" i="1" s="1"/>
  <c r="B17" i="1"/>
  <c r="H17" i="1" s="1"/>
  <c r="B18" i="1"/>
  <c r="H18" i="1" s="1"/>
  <c r="B19" i="1"/>
  <c r="G19" i="1" s="1"/>
  <c r="B20" i="1"/>
  <c r="G20" i="1" s="1"/>
  <c r="H33" i="1" l="1"/>
  <c r="H45" i="1"/>
  <c r="H29" i="1"/>
  <c r="H41" i="1"/>
  <c r="H25" i="1"/>
  <c r="H37" i="1"/>
  <c r="H21" i="1"/>
  <c r="G48" i="1"/>
  <c r="G44" i="1"/>
  <c r="G40" i="1"/>
  <c r="G36" i="1"/>
  <c r="G32" i="1"/>
  <c r="G28" i="1"/>
  <c r="G24" i="1"/>
  <c r="G5" i="1"/>
  <c r="G17" i="1"/>
  <c r="G47" i="1"/>
  <c r="G43" i="1"/>
  <c r="G39" i="1"/>
  <c r="G35" i="1"/>
  <c r="G31" i="1"/>
  <c r="G27" i="1"/>
  <c r="G23" i="1"/>
  <c r="H16" i="1"/>
  <c r="G46" i="1"/>
  <c r="G42" i="1"/>
  <c r="G38" i="1"/>
  <c r="G34" i="1"/>
  <c r="G30" i="1"/>
  <c r="G26" i="1"/>
  <c r="G22" i="1"/>
  <c r="H9" i="1"/>
  <c r="G12" i="1"/>
  <c r="H8" i="1"/>
  <c r="G7" i="1"/>
  <c r="H11" i="1"/>
  <c r="H15" i="1"/>
  <c r="H19" i="1"/>
  <c r="H13" i="1"/>
  <c r="G18" i="1"/>
  <c r="G14" i="1"/>
  <c r="G10" i="1"/>
  <c r="G6" i="1"/>
  <c r="H20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5" i="1"/>
  <c r="I2" i="1"/>
  <c r="H2" i="1"/>
  <c r="E2" i="1"/>
</calcChain>
</file>

<file path=xl/sharedStrings.xml><?xml version="1.0" encoding="utf-8"?>
<sst xmlns="http://schemas.openxmlformats.org/spreadsheetml/2006/main" count="78" uniqueCount="33">
  <si>
    <t>PREENCHER FORMULÁRIO</t>
  </si>
  <si>
    <t>CLIENTE:</t>
  </si>
  <si>
    <t>OP:</t>
  </si>
  <si>
    <t>QTD OP:</t>
  </si>
  <si>
    <t>DATA:</t>
  </si>
  <si>
    <t>HORA:</t>
  </si>
  <si>
    <t>PLM</t>
  </si>
  <si>
    <t>P/N</t>
  </si>
  <si>
    <t>DESCRICAO</t>
  </si>
  <si>
    <t>ZA_LOTE</t>
  </si>
  <si>
    <t>B2_LOCALIZ</t>
  </si>
  <si>
    <t>QTD PAGA</t>
  </si>
  <si>
    <t>CONFERÊNCIA DOUBLE CHECK PTH</t>
  </si>
  <si>
    <t>Uso Somente para conferencia da OP</t>
  </si>
  <si>
    <t>CONFERÊNCIA PRÉ-FORMA</t>
  </si>
  <si>
    <t>CONFERÊNCIA PRODUÇÃO</t>
  </si>
  <si>
    <t>P/N Componente</t>
  </si>
  <si>
    <t>Descrição</t>
  </si>
  <si>
    <t>Quantidade usada</t>
  </si>
  <si>
    <t>Contagem</t>
  </si>
  <si>
    <t>Data</t>
  </si>
  <si>
    <t>Hora</t>
  </si>
  <si>
    <t>Operador</t>
  </si>
  <si>
    <t xml:space="preserve">Operador </t>
  </si>
  <si>
    <t>:</t>
  </si>
  <si>
    <t>FM-494 – 14/08/2018</t>
  </si>
  <si>
    <t xml:space="preserve">ORDEM DE PRODUÇÃO </t>
  </si>
  <si>
    <t>CLIENTE</t>
  </si>
  <si>
    <t xml:space="preserve">CÓDIGO DO PRODUTO </t>
  </si>
  <si>
    <t>OP</t>
  </si>
  <si>
    <t>QUANTIDADE</t>
  </si>
  <si>
    <t>STATUS</t>
  </si>
  <si>
    <t>Liberado para produção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</si>
</sst>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35"/>
      <name val="Calibri"/>
      <family val="2"/>
    </font>
    <font>
      <sz val="35"/>
      <name val="Calibri"/>
      <family val="2"/>
    </font>
    <font>
      <sz val="11"/>
      <color rgb="FF0070C0"/>
      <name val="Liberation Sans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theme="0" tint="-4.9989318521683403E-2"/>
        <bgColor theme="4"/>
      </patternFill>
    </fill>
    <fill>
      <patternFill patternType="solid">
        <fgColor rgb="FF2DB6BD"/>
        <bgColor indexed="64"/>
      </patternFill>
    </fill>
    <fill>
      <patternFill patternType="solid">
        <fgColor rgb="FF3AAB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 wrapText="1"/>
    </xf>
    <xf numFmtId="16" fontId="4" fillId="0" borderId="3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left"/>
    </xf>
    <xf numFmtId="0" fontId="8" fillId="3" borderId="9" xfId="0" applyFont="1" applyFill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5" borderId="0" xfId="0" applyFill="1"/>
    <xf numFmtId="0" fontId="11" fillId="7" borderId="6" xfId="0" applyFont="1" applyFill="1" applyBorder="1"/>
    <xf numFmtId="0" fontId="11" fillId="0" borderId="6" xfId="0" applyFont="1" applyBorder="1"/>
    <xf numFmtId="0" fontId="3" fillId="4" borderId="1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16" fontId="7" fillId="6" borderId="12" xfId="0" applyNumberFormat="1" applyFont="1" applyFill="1" applyBorder="1" applyAlignment="1">
      <alignment horizontal="center"/>
    </xf>
    <xf numFmtId="16" fontId="7" fillId="6" borderId="10" xfId="0" applyNumberFormat="1" applyFont="1" applyFill="1" applyBorder="1" applyAlignment="1">
      <alignment horizontal="center"/>
    </xf>
    <xf numFmtId="16" fontId="7" fillId="6" borderId="8" xfId="0" applyNumberFormat="1" applyFont="1" applyFill="1" applyBorder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164" fontId="7" fillId="6" borderId="10" xfId="0" applyNumberFormat="1" applyFont="1" applyFill="1" applyBorder="1" applyAlignment="1">
      <alignment horizontal="center"/>
    </xf>
    <xf numFmtId="164" fontId="7" fillId="6" borderId="8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/>
    </xf>
    <xf numFmtId="0" fontId="3" fillId="2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numFmt numFmtId="165" formatCode=";;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DB6BD"/>
      <color rgb="FF3AAB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1</xdr:row>
      <xdr:rowOff>9525</xdr:rowOff>
    </xdr:from>
    <xdr:to>
      <xdr:col>9</xdr:col>
      <xdr:colOff>2133600</xdr:colOff>
      <xdr:row>3</xdr:row>
      <xdr:rowOff>133350</xdr:rowOff>
    </xdr:to>
    <xdr:sp macro="[0]!Módulo1.ImprimeDoubleChe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2509BE5-93A7-45FE-8023-442E03AF5A04}"/>
            </a:ext>
          </a:extLst>
        </xdr:cNvPr>
        <xdr:cNvSpPr/>
      </xdr:nvSpPr>
      <xdr:spPr>
        <a:xfrm>
          <a:off x="4667250" y="30480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D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DOUBLECHECK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228600</xdr:colOff>
      <xdr:row>4</xdr:row>
      <xdr:rowOff>47625</xdr:rowOff>
    </xdr:from>
    <xdr:to>
      <xdr:col>9</xdr:col>
      <xdr:colOff>2124075</xdr:colOff>
      <xdr:row>7</xdr:row>
      <xdr:rowOff>0</xdr:rowOff>
    </xdr:to>
    <xdr:sp macro="[0]!Módulo1.ImprimeMasca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F8C177D-6BA0-4A01-A48C-F283D7DD6EF7}"/>
            </a:ext>
          </a:extLst>
        </xdr:cNvPr>
        <xdr:cNvSpPr/>
      </xdr:nvSpPr>
      <xdr:spPr>
        <a:xfrm>
          <a:off x="4657725" y="93345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M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MASCARA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19050</xdr:rowOff>
    </xdr:from>
    <xdr:to>
      <xdr:col>1</xdr:col>
      <xdr:colOff>1685925</xdr:colOff>
      <xdr:row>0</xdr:row>
      <xdr:rowOff>704850</xdr:rowOff>
    </xdr:to>
    <xdr:pic>
      <xdr:nvPicPr>
        <xdr:cNvPr id="1739" name="Logo_Constanta">
          <a:extLst>
            <a:ext uri="{FF2B5EF4-FFF2-40B4-BE49-F238E27FC236}">
              <a16:creationId xmlns:a16="http://schemas.microsoft.com/office/drawing/2014/main" id="{00000000-0008-0000-01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9050"/>
          <a:ext cx="1638300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66675</xdr:colOff>
      <xdr:row>4</xdr:row>
      <xdr:rowOff>104775</xdr:rowOff>
    </xdr:from>
    <xdr:to>
      <xdr:col>4</xdr:col>
      <xdr:colOff>333375</xdr:colOff>
      <xdr:row>4</xdr:row>
      <xdr:rowOff>266700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</xdr:row>
      <xdr:rowOff>104775</xdr:rowOff>
    </xdr:from>
    <xdr:to>
      <xdr:col>5</xdr:col>
      <xdr:colOff>523875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</xdr:row>
      <xdr:rowOff>57150</xdr:rowOff>
    </xdr:from>
    <xdr:to>
      <xdr:col>5</xdr:col>
      <xdr:colOff>76200</xdr:colOff>
      <xdr:row>4</xdr:row>
      <xdr:rowOff>276225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</xdr:row>
      <xdr:rowOff>38100</xdr:rowOff>
    </xdr:from>
    <xdr:to>
      <xdr:col>5</xdr:col>
      <xdr:colOff>1190625</xdr:colOff>
      <xdr:row>4</xdr:row>
      <xdr:rowOff>257175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5</xdr:row>
      <xdr:rowOff>104775</xdr:rowOff>
    </xdr:from>
    <xdr:to>
      <xdr:col>4</xdr:col>
      <xdr:colOff>333375</xdr:colOff>
      <xdr:row>5</xdr:row>
      <xdr:rowOff>266700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5</xdr:row>
      <xdr:rowOff>104775</xdr:rowOff>
    </xdr:from>
    <xdr:to>
      <xdr:col>5</xdr:col>
      <xdr:colOff>523875</xdr:colOff>
      <xdr:row>5</xdr:row>
      <xdr:rowOff>266700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5</xdr:row>
      <xdr:rowOff>57150</xdr:rowOff>
    </xdr:from>
    <xdr:to>
      <xdr:col>5</xdr:col>
      <xdr:colOff>76200</xdr:colOff>
      <xdr:row>5</xdr:row>
      <xdr:rowOff>276225</xdr:rowOff>
    </xdr:to>
    <xdr:sp macro="" textlink="">
      <xdr:nvSpPr>
        <xdr:cNvPr id="377" name="CaixaDeTexto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5</xdr:row>
      <xdr:rowOff>38100</xdr:rowOff>
    </xdr:from>
    <xdr:to>
      <xdr:col>5</xdr:col>
      <xdr:colOff>1190625</xdr:colOff>
      <xdr:row>5</xdr:row>
      <xdr:rowOff>257175</xdr:rowOff>
    </xdr:to>
    <xdr:sp macro="" textlink="">
      <xdr:nvSpPr>
        <xdr:cNvPr id="378" name="CaixaDeTexto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6</xdr:row>
      <xdr:rowOff>104775</xdr:rowOff>
    </xdr:from>
    <xdr:to>
      <xdr:col>4</xdr:col>
      <xdr:colOff>333375</xdr:colOff>
      <xdr:row>6</xdr:row>
      <xdr:rowOff>266700</xdr:rowOff>
    </xdr:to>
    <xdr:sp macro="" textlink="">
      <xdr:nvSpPr>
        <xdr:cNvPr id="379" name="Retângulo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6</xdr:row>
      <xdr:rowOff>104775</xdr:rowOff>
    </xdr:from>
    <xdr:to>
      <xdr:col>5</xdr:col>
      <xdr:colOff>523875</xdr:colOff>
      <xdr:row>6</xdr:row>
      <xdr:rowOff>266700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6</xdr:row>
      <xdr:rowOff>57150</xdr:rowOff>
    </xdr:from>
    <xdr:to>
      <xdr:col>5</xdr:col>
      <xdr:colOff>76200</xdr:colOff>
      <xdr:row>6</xdr:row>
      <xdr:rowOff>276225</xdr:rowOff>
    </xdr:to>
    <xdr:sp macro="" textlink="">
      <xdr:nvSpPr>
        <xdr:cNvPr id="381" name="CaixaDeTexto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6</xdr:row>
      <xdr:rowOff>38100</xdr:rowOff>
    </xdr:from>
    <xdr:to>
      <xdr:col>5</xdr:col>
      <xdr:colOff>1190625</xdr:colOff>
      <xdr:row>6</xdr:row>
      <xdr:rowOff>257175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7</xdr:row>
      <xdr:rowOff>104775</xdr:rowOff>
    </xdr:from>
    <xdr:to>
      <xdr:col>4</xdr:col>
      <xdr:colOff>333375</xdr:colOff>
      <xdr:row>7</xdr:row>
      <xdr:rowOff>266700</xdr:rowOff>
    </xdr:to>
    <xdr:sp macro="" textlink="">
      <xdr:nvSpPr>
        <xdr:cNvPr id="383" name="Retângulo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7</xdr:row>
      <xdr:rowOff>104775</xdr:rowOff>
    </xdr:from>
    <xdr:to>
      <xdr:col>5</xdr:col>
      <xdr:colOff>523875</xdr:colOff>
      <xdr:row>7</xdr:row>
      <xdr:rowOff>266700</xdr:rowOff>
    </xdr:to>
    <xdr:sp macro="" textlink="">
      <xdr:nvSpPr>
        <xdr:cNvPr id="384" name="Retângulo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7</xdr:row>
      <xdr:rowOff>57150</xdr:rowOff>
    </xdr:from>
    <xdr:to>
      <xdr:col>5</xdr:col>
      <xdr:colOff>76200</xdr:colOff>
      <xdr:row>7</xdr:row>
      <xdr:rowOff>276225</xdr:rowOff>
    </xdr:to>
    <xdr:sp macro="" textlink="">
      <xdr:nvSpPr>
        <xdr:cNvPr id="385" name="CaixaDeTexto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7</xdr:row>
      <xdr:rowOff>38100</xdr:rowOff>
    </xdr:from>
    <xdr:to>
      <xdr:col>5</xdr:col>
      <xdr:colOff>1190625</xdr:colOff>
      <xdr:row>7</xdr:row>
      <xdr:rowOff>257175</xdr:rowOff>
    </xdr:to>
    <xdr:sp macro="" textlink="">
      <xdr:nvSpPr>
        <xdr:cNvPr id="386" name="CaixaDeTexto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8</xdr:row>
      <xdr:rowOff>104775</xdr:rowOff>
    </xdr:from>
    <xdr:to>
      <xdr:col>4</xdr:col>
      <xdr:colOff>333375</xdr:colOff>
      <xdr:row>8</xdr:row>
      <xdr:rowOff>266700</xdr:rowOff>
    </xdr:to>
    <xdr:sp macro="" textlink="">
      <xdr:nvSpPr>
        <xdr:cNvPr id="387" name="Retângulo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8</xdr:row>
      <xdr:rowOff>104775</xdr:rowOff>
    </xdr:from>
    <xdr:to>
      <xdr:col>5</xdr:col>
      <xdr:colOff>523875</xdr:colOff>
      <xdr:row>8</xdr:row>
      <xdr:rowOff>266700</xdr:rowOff>
    </xdr:to>
    <xdr:sp macro="" textlink="">
      <xdr:nvSpPr>
        <xdr:cNvPr id="388" name="Retângulo 387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8</xdr:row>
      <xdr:rowOff>57150</xdr:rowOff>
    </xdr:from>
    <xdr:to>
      <xdr:col>5</xdr:col>
      <xdr:colOff>76200</xdr:colOff>
      <xdr:row>8</xdr:row>
      <xdr:rowOff>276225</xdr:rowOff>
    </xdr:to>
    <xdr:sp macro="" textlink="">
      <xdr:nvSpPr>
        <xdr:cNvPr id="389" name="CaixaDeTexto 388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8</xdr:row>
      <xdr:rowOff>38100</xdr:rowOff>
    </xdr:from>
    <xdr:to>
      <xdr:col>5</xdr:col>
      <xdr:colOff>1190625</xdr:colOff>
      <xdr:row>8</xdr:row>
      <xdr:rowOff>257175</xdr:rowOff>
    </xdr:to>
    <xdr:sp macro="" textlink="">
      <xdr:nvSpPr>
        <xdr:cNvPr id="390" name="CaixaDeTexto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9</xdr:row>
      <xdr:rowOff>104775</xdr:rowOff>
    </xdr:from>
    <xdr:to>
      <xdr:col>4</xdr:col>
      <xdr:colOff>333375</xdr:colOff>
      <xdr:row>9</xdr:row>
      <xdr:rowOff>266700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9</xdr:row>
      <xdr:rowOff>104775</xdr:rowOff>
    </xdr:from>
    <xdr:to>
      <xdr:col>5</xdr:col>
      <xdr:colOff>523875</xdr:colOff>
      <xdr:row>9</xdr:row>
      <xdr:rowOff>266700</xdr:rowOff>
    </xdr:to>
    <xdr:sp macro="" textlink="">
      <xdr:nvSpPr>
        <xdr:cNvPr id="392" name="Retângulo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9</xdr:row>
      <xdr:rowOff>57150</xdr:rowOff>
    </xdr:from>
    <xdr:to>
      <xdr:col>5</xdr:col>
      <xdr:colOff>76200</xdr:colOff>
      <xdr:row>9</xdr:row>
      <xdr:rowOff>276225</xdr:rowOff>
    </xdr:to>
    <xdr:sp macro="" textlink="">
      <xdr:nvSpPr>
        <xdr:cNvPr id="393" name="CaixaDeTexto 392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9</xdr:row>
      <xdr:rowOff>38100</xdr:rowOff>
    </xdr:from>
    <xdr:to>
      <xdr:col>5</xdr:col>
      <xdr:colOff>1190625</xdr:colOff>
      <xdr:row>9</xdr:row>
      <xdr:rowOff>257175</xdr:rowOff>
    </xdr:to>
    <xdr:sp macro="" textlink="">
      <xdr:nvSpPr>
        <xdr:cNvPr id="394" name="CaixaDeTexto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10</xdr:row>
      <xdr:rowOff>104775</xdr:rowOff>
    </xdr:from>
    <xdr:to>
      <xdr:col>4</xdr:col>
      <xdr:colOff>333375</xdr:colOff>
      <xdr:row>10</xdr:row>
      <xdr:rowOff>266700</xdr:rowOff>
    </xdr:to>
    <xdr:sp macro="" textlink="">
      <xdr:nvSpPr>
        <xdr:cNvPr id="395" name="Retângulo 394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10</xdr:row>
      <xdr:rowOff>104775</xdr:rowOff>
    </xdr:from>
    <xdr:to>
      <xdr:col>5</xdr:col>
      <xdr:colOff>523875</xdr:colOff>
      <xdr:row>10</xdr:row>
      <xdr:rowOff>266700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10</xdr:row>
      <xdr:rowOff>57150</xdr:rowOff>
    </xdr:from>
    <xdr:to>
      <xdr:col>5</xdr:col>
      <xdr:colOff>76200</xdr:colOff>
      <xdr:row>10</xdr:row>
      <xdr:rowOff>276225</xdr:rowOff>
    </xdr:to>
    <xdr:sp macro="" textlink="">
      <xdr:nvSpPr>
        <xdr:cNvPr id="397" name="CaixaDeTexto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10</xdr:row>
      <xdr:rowOff>38100</xdr:rowOff>
    </xdr:from>
    <xdr:to>
      <xdr:col>5</xdr:col>
      <xdr:colOff>1190625</xdr:colOff>
      <xdr:row>10</xdr:row>
      <xdr:rowOff>257175</xdr:rowOff>
    </xdr:to>
    <xdr:sp macro="" textlink="">
      <xdr:nvSpPr>
        <xdr:cNvPr id="398" name="CaixaDeTexto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11</xdr:row>
      <xdr:rowOff>104775</xdr:rowOff>
    </xdr:from>
    <xdr:to>
      <xdr:col>4</xdr:col>
      <xdr:colOff>333375</xdr:colOff>
      <xdr:row>11</xdr:row>
      <xdr:rowOff>266700</xdr:rowOff>
    </xdr:to>
    <xdr:sp macro="" textlink="">
      <xdr:nvSpPr>
        <xdr:cNvPr id="399" name="Retângulo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11</xdr:row>
      <xdr:rowOff>104775</xdr:rowOff>
    </xdr:from>
    <xdr:to>
      <xdr:col>5</xdr:col>
      <xdr:colOff>523875</xdr:colOff>
      <xdr:row>11</xdr:row>
      <xdr:rowOff>266700</xdr:rowOff>
    </xdr:to>
    <xdr:sp macro="" textlink="">
      <xdr:nvSpPr>
        <xdr:cNvPr id="400" name="Retângulo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11</xdr:row>
      <xdr:rowOff>57150</xdr:rowOff>
    </xdr:from>
    <xdr:to>
      <xdr:col>5</xdr:col>
      <xdr:colOff>76200</xdr:colOff>
      <xdr:row>11</xdr:row>
      <xdr:rowOff>276225</xdr:rowOff>
    </xdr:to>
    <xdr:sp macro="" textlink="">
      <xdr:nvSpPr>
        <xdr:cNvPr id="401" name="CaixaDeTexto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11</xdr:row>
      <xdr:rowOff>38100</xdr:rowOff>
    </xdr:from>
    <xdr:to>
      <xdr:col>5</xdr:col>
      <xdr:colOff>1190625</xdr:colOff>
      <xdr:row>11</xdr:row>
      <xdr:rowOff>257175</xdr:rowOff>
    </xdr:to>
    <xdr:sp macro="" textlink="">
      <xdr:nvSpPr>
        <xdr:cNvPr id="402" name="CaixaDeTexto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12</xdr:row>
      <xdr:rowOff>104775</xdr:rowOff>
    </xdr:from>
    <xdr:to>
      <xdr:col>4</xdr:col>
      <xdr:colOff>333375</xdr:colOff>
      <xdr:row>12</xdr:row>
      <xdr:rowOff>266700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12</xdr:row>
      <xdr:rowOff>104775</xdr:rowOff>
    </xdr:from>
    <xdr:to>
      <xdr:col>5</xdr:col>
      <xdr:colOff>523875</xdr:colOff>
      <xdr:row>12</xdr:row>
      <xdr:rowOff>266700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12</xdr:row>
      <xdr:rowOff>57150</xdr:rowOff>
    </xdr:from>
    <xdr:to>
      <xdr:col>5</xdr:col>
      <xdr:colOff>76200</xdr:colOff>
      <xdr:row>12</xdr:row>
      <xdr:rowOff>276225</xdr:rowOff>
    </xdr:to>
    <xdr:sp macro="" textlink="">
      <xdr:nvSpPr>
        <xdr:cNvPr id="405" name="CaixaDeTexto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12</xdr:row>
      <xdr:rowOff>38100</xdr:rowOff>
    </xdr:from>
    <xdr:to>
      <xdr:col>5</xdr:col>
      <xdr:colOff>1190625</xdr:colOff>
      <xdr:row>12</xdr:row>
      <xdr:rowOff>257175</xdr:rowOff>
    </xdr:to>
    <xdr:sp macro="" textlink="">
      <xdr:nvSpPr>
        <xdr:cNvPr id="406" name="CaixaDeTexto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333375</xdr:colOff>
      <xdr:row>13</xdr:row>
      <xdr:rowOff>266700</xdr:rowOff>
    </xdr:to>
    <xdr:sp macro="" textlink="">
      <xdr:nvSpPr>
        <xdr:cNvPr id="407" name="Retângulo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13</xdr:row>
      <xdr:rowOff>104775</xdr:rowOff>
    </xdr:from>
    <xdr:to>
      <xdr:col>5</xdr:col>
      <xdr:colOff>523875</xdr:colOff>
      <xdr:row>13</xdr:row>
      <xdr:rowOff>266700</xdr:rowOff>
    </xdr:to>
    <xdr:sp macro="" textlink="">
      <xdr:nvSpPr>
        <xdr:cNvPr id="408" name="Retângulo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13</xdr:row>
      <xdr:rowOff>57150</xdr:rowOff>
    </xdr:from>
    <xdr:to>
      <xdr:col>5</xdr:col>
      <xdr:colOff>76200</xdr:colOff>
      <xdr:row>13</xdr:row>
      <xdr:rowOff>276225</xdr:rowOff>
    </xdr:to>
    <xdr:sp macro="" textlink="">
      <xdr:nvSpPr>
        <xdr:cNvPr id="409" name="CaixaDeTexto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13</xdr:row>
      <xdr:rowOff>38100</xdr:rowOff>
    </xdr:from>
    <xdr:to>
      <xdr:col>5</xdr:col>
      <xdr:colOff>1190625</xdr:colOff>
      <xdr:row>13</xdr:row>
      <xdr:rowOff>257175</xdr:rowOff>
    </xdr:to>
    <xdr:sp macro="" textlink="">
      <xdr:nvSpPr>
        <xdr:cNvPr id="410" name="CaixaDeTexto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14</xdr:row>
      <xdr:rowOff>104775</xdr:rowOff>
    </xdr:from>
    <xdr:to>
      <xdr:col>4</xdr:col>
      <xdr:colOff>333375</xdr:colOff>
      <xdr:row>14</xdr:row>
      <xdr:rowOff>266700</xdr:rowOff>
    </xdr:to>
    <xdr:sp macro="" textlink="">
      <xdr:nvSpPr>
        <xdr:cNvPr id="411" name="Retângulo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14</xdr:row>
      <xdr:rowOff>104775</xdr:rowOff>
    </xdr:from>
    <xdr:to>
      <xdr:col>5</xdr:col>
      <xdr:colOff>523875</xdr:colOff>
      <xdr:row>14</xdr:row>
      <xdr:rowOff>266700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14</xdr:row>
      <xdr:rowOff>57150</xdr:rowOff>
    </xdr:from>
    <xdr:to>
      <xdr:col>5</xdr:col>
      <xdr:colOff>76200</xdr:colOff>
      <xdr:row>14</xdr:row>
      <xdr:rowOff>276225</xdr:rowOff>
    </xdr:to>
    <xdr:sp macro="" textlink="">
      <xdr:nvSpPr>
        <xdr:cNvPr id="413" name="CaixaDeTexto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14</xdr:row>
      <xdr:rowOff>38100</xdr:rowOff>
    </xdr:from>
    <xdr:to>
      <xdr:col>5</xdr:col>
      <xdr:colOff>1190625</xdr:colOff>
      <xdr:row>14</xdr:row>
      <xdr:rowOff>257175</xdr:rowOff>
    </xdr:to>
    <xdr:sp macro="" textlink="">
      <xdr:nvSpPr>
        <xdr:cNvPr id="414" name="CaixaDeTexto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15</xdr:row>
      <xdr:rowOff>104775</xdr:rowOff>
    </xdr:from>
    <xdr:to>
      <xdr:col>4</xdr:col>
      <xdr:colOff>333375</xdr:colOff>
      <xdr:row>15</xdr:row>
      <xdr:rowOff>266700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15</xdr:row>
      <xdr:rowOff>104775</xdr:rowOff>
    </xdr:from>
    <xdr:to>
      <xdr:col>5</xdr:col>
      <xdr:colOff>523875</xdr:colOff>
      <xdr:row>15</xdr:row>
      <xdr:rowOff>266700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15</xdr:row>
      <xdr:rowOff>57150</xdr:rowOff>
    </xdr:from>
    <xdr:to>
      <xdr:col>5</xdr:col>
      <xdr:colOff>76200</xdr:colOff>
      <xdr:row>15</xdr:row>
      <xdr:rowOff>276225</xdr:rowOff>
    </xdr:to>
    <xdr:sp macro="" textlink="">
      <xdr:nvSpPr>
        <xdr:cNvPr id="417" name="CaixaDeTexto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15</xdr:row>
      <xdr:rowOff>38100</xdr:rowOff>
    </xdr:from>
    <xdr:to>
      <xdr:col>5</xdr:col>
      <xdr:colOff>1190625</xdr:colOff>
      <xdr:row>15</xdr:row>
      <xdr:rowOff>257175</xdr:rowOff>
    </xdr:to>
    <xdr:sp macro="" textlink="">
      <xdr:nvSpPr>
        <xdr:cNvPr id="418" name="CaixaDeTexto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16</xdr:row>
      <xdr:rowOff>104775</xdr:rowOff>
    </xdr:from>
    <xdr:to>
      <xdr:col>4</xdr:col>
      <xdr:colOff>333375</xdr:colOff>
      <xdr:row>16</xdr:row>
      <xdr:rowOff>266700</xdr:rowOff>
    </xdr:to>
    <xdr:sp macro="" textlink="">
      <xdr:nvSpPr>
        <xdr:cNvPr id="419" name="Retângulo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16</xdr:row>
      <xdr:rowOff>104775</xdr:rowOff>
    </xdr:from>
    <xdr:to>
      <xdr:col>5</xdr:col>
      <xdr:colOff>523875</xdr:colOff>
      <xdr:row>16</xdr:row>
      <xdr:rowOff>266700</xdr:rowOff>
    </xdr:to>
    <xdr:sp macro="" textlink="">
      <xdr:nvSpPr>
        <xdr:cNvPr id="420" name="Retângulo 419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16</xdr:row>
      <xdr:rowOff>57150</xdr:rowOff>
    </xdr:from>
    <xdr:to>
      <xdr:col>5</xdr:col>
      <xdr:colOff>76200</xdr:colOff>
      <xdr:row>16</xdr:row>
      <xdr:rowOff>276225</xdr:rowOff>
    </xdr:to>
    <xdr:sp macro="" textlink="">
      <xdr:nvSpPr>
        <xdr:cNvPr id="421" name="CaixaDeTexto 420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16</xdr:row>
      <xdr:rowOff>38100</xdr:rowOff>
    </xdr:from>
    <xdr:to>
      <xdr:col>5</xdr:col>
      <xdr:colOff>1190625</xdr:colOff>
      <xdr:row>16</xdr:row>
      <xdr:rowOff>257175</xdr:rowOff>
    </xdr:to>
    <xdr:sp macro="" textlink="">
      <xdr:nvSpPr>
        <xdr:cNvPr id="422" name="CaixaDeTexto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17</xdr:row>
      <xdr:rowOff>104775</xdr:rowOff>
    </xdr:from>
    <xdr:to>
      <xdr:col>4</xdr:col>
      <xdr:colOff>333375</xdr:colOff>
      <xdr:row>17</xdr:row>
      <xdr:rowOff>266700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17</xdr:row>
      <xdr:rowOff>104775</xdr:rowOff>
    </xdr:from>
    <xdr:to>
      <xdr:col>5</xdr:col>
      <xdr:colOff>523875</xdr:colOff>
      <xdr:row>17</xdr:row>
      <xdr:rowOff>266700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17</xdr:row>
      <xdr:rowOff>57150</xdr:rowOff>
    </xdr:from>
    <xdr:to>
      <xdr:col>5</xdr:col>
      <xdr:colOff>76200</xdr:colOff>
      <xdr:row>17</xdr:row>
      <xdr:rowOff>276225</xdr:rowOff>
    </xdr:to>
    <xdr:sp macro="" textlink="">
      <xdr:nvSpPr>
        <xdr:cNvPr id="425" name="CaixaDeTexto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17</xdr:row>
      <xdr:rowOff>38100</xdr:rowOff>
    </xdr:from>
    <xdr:to>
      <xdr:col>5</xdr:col>
      <xdr:colOff>1190625</xdr:colOff>
      <xdr:row>17</xdr:row>
      <xdr:rowOff>257175</xdr:rowOff>
    </xdr:to>
    <xdr:sp macro="" textlink="">
      <xdr:nvSpPr>
        <xdr:cNvPr id="426" name="CaixaDeTexto 42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18</xdr:row>
      <xdr:rowOff>104775</xdr:rowOff>
    </xdr:from>
    <xdr:to>
      <xdr:col>4</xdr:col>
      <xdr:colOff>333375</xdr:colOff>
      <xdr:row>18</xdr:row>
      <xdr:rowOff>266700</xdr:rowOff>
    </xdr:to>
    <xdr:sp macro="" textlink="">
      <xdr:nvSpPr>
        <xdr:cNvPr id="427" name="Retângulo 42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18</xdr:row>
      <xdr:rowOff>104775</xdr:rowOff>
    </xdr:from>
    <xdr:to>
      <xdr:col>5</xdr:col>
      <xdr:colOff>523875</xdr:colOff>
      <xdr:row>18</xdr:row>
      <xdr:rowOff>266700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18</xdr:row>
      <xdr:rowOff>57150</xdr:rowOff>
    </xdr:from>
    <xdr:to>
      <xdr:col>5</xdr:col>
      <xdr:colOff>76200</xdr:colOff>
      <xdr:row>18</xdr:row>
      <xdr:rowOff>276225</xdr:rowOff>
    </xdr:to>
    <xdr:sp macro="" textlink="">
      <xdr:nvSpPr>
        <xdr:cNvPr id="429" name="CaixaDeTexto 428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18</xdr:row>
      <xdr:rowOff>38100</xdr:rowOff>
    </xdr:from>
    <xdr:to>
      <xdr:col>5</xdr:col>
      <xdr:colOff>1190625</xdr:colOff>
      <xdr:row>18</xdr:row>
      <xdr:rowOff>257175</xdr:rowOff>
    </xdr:to>
    <xdr:sp macro="" textlink="">
      <xdr:nvSpPr>
        <xdr:cNvPr id="430" name="CaixaDeTexto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19</xdr:row>
      <xdr:rowOff>104775</xdr:rowOff>
    </xdr:from>
    <xdr:to>
      <xdr:col>4</xdr:col>
      <xdr:colOff>333375</xdr:colOff>
      <xdr:row>19</xdr:row>
      <xdr:rowOff>266700</xdr:rowOff>
    </xdr:to>
    <xdr:sp macro="" textlink="">
      <xdr:nvSpPr>
        <xdr:cNvPr id="431" name="Retângulo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19</xdr:row>
      <xdr:rowOff>104775</xdr:rowOff>
    </xdr:from>
    <xdr:to>
      <xdr:col>5</xdr:col>
      <xdr:colOff>523875</xdr:colOff>
      <xdr:row>19</xdr:row>
      <xdr:rowOff>266700</xdr:rowOff>
    </xdr:to>
    <xdr:sp macro="" textlink="">
      <xdr:nvSpPr>
        <xdr:cNvPr id="432" name="Retângulo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19</xdr:row>
      <xdr:rowOff>57150</xdr:rowOff>
    </xdr:from>
    <xdr:to>
      <xdr:col>5</xdr:col>
      <xdr:colOff>76200</xdr:colOff>
      <xdr:row>19</xdr:row>
      <xdr:rowOff>276225</xdr:rowOff>
    </xdr:to>
    <xdr:sp macro="" textlink="">
      <xdr:nvSpPr>
        <xdr:cNvPr id="433" name="CaixaDeTexto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19</xdr:row>
      <xdr:rowOff>38100</xdr:rowOff>
    </xdr:from>
    <xdr:to>
      <xdr:col>5</xdr:col>
      <xdr:colOff>1190625</xdr:colOff>
      <xdr:row>19</xdr:row>
      <xdr:rowOff>257175</xdr:rowOff>
    </xdr:to>
    <xdr:sp macro="" textlink="">
      <xdr:nvSpPr>
        <xdr:cNvPr id="434" name="CaixaDeTexto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20</xdr:row>
      <xdr:rowOff>104775</xdr:rowOff>
    </xdr:from>
    <xdr:to>
      <xdr:col>4</xdr:col>
      <xdr:colOff>333375</xdr:colOff>
      <xdr:row>20</xdr:row>
      <xdr:rowOff>266700</xdr:rowOff>
    </xdr:to>
    <xdr:sp macro="" textlink="">
      <xdr:nvSpPr>
        <xdr:cNvPr id="435" name="Retângulo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20</xdr:row>
      <xdr:rowOff>104775</xdr:rowOff>
    </xdr:from>
    <xdr:to>
      <xdr:col>5</xdr:col>
      <xdr:colOff>523875</xdr:colOff>
      <xdr:row>20</xdr:row>
      <xdr:rowOff>266700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20</xdr:row>
      <xdr:rowOff>57150</xdr:rowOff>
    </xdr:from>
    <xdr:to>
      <xdr:col>5</xdr:col>
      <xdr:colOff>76200</xdr:colOff>
      <xdr:row>20</xdr:row>
      <xdr:rowOff>276225</xdr:rowOff>
    </xdr:to>
    <xdr:sp macro="" textlink="">
      <xdr:nvSpPr>
        <xdr:cNvPr id="437" name="CaixaDeTexto 436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20</xdr:row>
      <xdr:rowOff>38100</xdr:rowOff>
    </xdr:from>
    <xdr:to>
      <xdr:col>5</xdr:col>
      <xdr:colOff>1190625</xdr:colOff>
      <xdr:row>20</xdr:row>
      <xdr:rowOff>257175</xdr:rowOff>
    </xdr:to>
    <xdr:sp macro="" textlink="">
      <xdr:nvSpPr>
        <xdr:cNvPr id="438" name="CaixaDeTexto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21</xdr:row>
      <xdr:rowOff>104775</xdr:rowOff>
    </xdr:from>
    <xdr:to>
      <xdr:col>4</xdr:col>
      <xdr:colOff>333375</xdr:colOff>
      <xdr:row>21</xdr:row>
      <xdr:rowOff>266700</xdr:rowOff>
    </xdr:to>
    <xdr:sp macro="" textlink="">
      <xdr:nvSpPr>
        <xdr:cNvPr id="439" name="Retângulo 438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21</xdr:row>
      <xdr:rowOff>104775</xdr:rowOff>
    </xdr:from>
    <xdr:to>
      <xdr:col>5</xdr:col>
      <xdr:colOff>523875</xdr:colOff>
      <xdr:row>21</xdr:row>
      <xdr:rowOff>266700</xdr:rowOff>
    </xdr:to>
    <xdr:sp macro="" textlink="">
      <xdr:nvSpPr>
        <xdr:cNvPr id="440" name="Retângulo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21</xdr:row>
      <xdr:rowOff>57150</xdr:rowOff>
    </xdr:from>
    <xdr:to>
      <xdr:col>5</xdr:col>
      <xdr:colOff>76200</xdr:colOff>
      <xdr:row>21</xdr:row>
      <xdr:rowOff>276225</xdr:rowOff>
    </xdr:to>
    <xdr:sp macro="" textlink="">
      <xdr:nvSpPr>
        <xdr:cNvPr id="441" name="CaixaDeTexto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21</xdr:row>
      <xdr:rowOff>38100</xdr:rowOff>
    </xdr:from>
    <xdr:to>
      <xdr:col>5</xdr:col>
      <xdr:colOff>1190625</xdr:colOff>
      <xdr:row>21</xdr:row>
      <xdr:rowOff>257175</xdr:rowOff>
    </xdr:to>
    <xdr:sp macro="" textlink="">
      <xdr:nvSpPr>
        <xdr:cNvPr id="442" name="CaixaDeTexto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22</xdr:row>
      <xdr:rowOff>104775</xdr:rowOff>
    </xdr:from>
    <xdr:to>
      <xdr:col>4</xdr:col>
      <xdr:colOff>333375</xdr:colOff>
      <xdr:row>22</xdr:row>
      <xdr:rowOff>266700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22</xdr:row>
      <xdr:rowOff>104775</xdr:rowOff>
    </xdr:from>
    <xdr:to>
      <xdr:col>5</xdr:col>
      <xdr:colOff>523875</xdr:colOff>
      <xdr:row>22</xdr:row>
      <xdr:rowOff>266700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22</xdr:row>
      <xdr:rowOff>57150</xdr:rowOff>
    </xdr:from>
    <xdr:to>
      <xdr:col>5</xdr:col>
      <xdr:colOff>76200</xdr:colOff>
      <xdr:row>22</xdr:row>
      <xdr:rowOff>276225</xdr:rowOff>
    </xdr:to>
    <xdr:sp macro="" textlink="">
      <xdr:nvSpPr>
        <xdr:cNvPr id="445" name="CaixaDeTexto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22</xdr:row>
      <xdr:rowOff>38100</xdr:rowOff>
    </xdr:from>
    <xdr:to>
      <xdr:col>5</xdr:col>
      <xdr:colOff>1190625</xdr:colOff>
      <xdr:row>22</xdr:row>
      <xdr:rowOff>257175</xdr:rowOff>
    </xdr:to>
    <xdr:sp macro="" textlink="">
      <xdr:nvSpPr>
        <xdr:cNvPr id="446" name="CaixaDeTexto 445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23</xdr:row>
      <xdr:rowOff>104775</xdr:rowOff>
    </xdr:from>
    <xdr:to>
      <xdr:col>4</xdr:col>
      <xdr:colOff>333375</xdr:colOff>
      <xdr:row>23</xdr:row>
      <xdr:rowOff>266700</xdr:rowOff>
    </xdr:to>
    <xdr:sp macro="" textlink="">
      <xdr:nvSpPr>
        <xdr:cNvPr id="447" name="Retângulo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23</xdr:row>
      <xdr:rowOff>104775</xdr:rowOff>
    </xdr:from>
    <xdr:to>
      <xdr:col>5</xdr:col>
      <xdr:colOff>523875</xdr:colOff>
      <xdr:row>23</xdr:row>
      <xdr:rowOff>266700</xdr:rowOff>
    </xdr:to>
    <xdr:sp macro="" textlink="">
      <xdr:nvSpPr>
        <xdr:cNvPr id="448" name="Retângulo 447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23</xdr:row>
      <xdr:rowOff>57150</xdr:rowOff>
    </xdr:from>
    <xdr:to>
      <xdr:col>5</xdr:col>
      <xdr:colOff>76200</xdr:colOff>
      <xdr:row>23</xdr:row>
      <xdr:rowOff>276225</xdr:rowOff>
    </xdr:to>
    <xdr:sp macro="" textlink="">
      <xdr:nvSpPr>
        <xdr:cNvPr id="449" name="CaixaDeTexto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23</xdr:row>
      <xdr:rowOff>38100</xdr:rowOff>
    </xdr:from>
    <xdr:to>
      <xdr:col>5</xdr:col>
      <xdr:colOff>1190625</xdr:colOff>
      <xdr:row>23</xdr:row>
      <xdr:rowOff>257175</xdr:rowOff>
    </xdr:to>
    <xdr:sp macro="" textlink="">
      <xdr:nvSpPr>
        <xdr:cNvPr id="450" name="CaixaDeTexto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24</xdr:row>
      <xdr:rowOff>104775</xdr:rowOff>
    </xdr:from>
    <xdr:to>
      <xdr:col>4</xdr:col>
      <xdr:colOff>333375</xdr:colOff>
      <xdr:row>24</xdr:row>
      <xdr:rowOff>266700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24</xdr:row>
      <xdr:rowOff>104775</xdr:rowOff>
    </xdr:from>
    <xdr:to>
      <xdr:col>5</xdr:col>
      <xdr:colOff>523875</xdr:colOff>
      <xdr:row>24</xdr:row>
      <xdr:rowOff>266700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24</xdr:row>
      <xdr:rowOff>57150</xdr:rowOff>
    </xdr:from>
    <xdr:to>
      <xdr:col>5</xdr:col>
      <xdr:colOff>76200</xdr:colOff>
      <xdr:row>24</xdr:row>
      <xdr:rowOff>276225</xdr:rowOff>
    </xdr:to>
    <xdr:sp macro="" textlink="">
      <xdr:nvSpPr>
        <xdr:cNvPr id="453" name="CaixaDeTexto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24</xdr:row>
      <xdr:rowOff>38100</xdr:rowOff>
    </xdr:from>
    <xdr:to>
      <xdr:col>5</xdr:col>
      <xdr:colOff>1190625</xdr:colOff>
      <xdr:row>24</xdr:row>
      <xdr:rowOff>257175</xdr:rowOff>
    </xdr:to>
    <xdr:sp macro="" textlink="">
      <xdr:nvSpPr>
        <xdr:cNvPr id="454" name="CaixaDeTexto 453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25</xdr:row>
      <xdr:rowOff>104775</xdr:rowOff>
    </xdr:from>
    <xdr:to>
      <xdr:col>4</xdr:col>
      <xdr:colOff>333375</xdr:colOff>
      <xdr:row>25</xdr:row>
      <xdr:rowOff>266700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25</xdr:row>
      <xdr:rowOff>104775</xdr:rowOff>
    </xdr:from>
    <xdr:to>
      <xdr:col>5</xdr:col>
      <xdr:colOff>523875</xdr:colOff>
      <xdr:row>25</xdr:row>
      <xdr:rowOff>266700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25</xdr:row>
      <xdr:rowOff>57150</xdr:rowOff>
    </xdr:from>
    <xdr:to>
      <xdr:col>5</xdr:col>
      <xdr:colOff>76200</xdr:colOff>
      <xdr:row>25</xdr:row>
      <xdr:rowOff>276225</xdr:rowOff>
    </xdr:to>
    <xdr:sp macro="" textlink="">
      <xdr:nvSpPr>
        <xdr:cNvPr id="457" name="CaixaDeTexto 456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25</xdr:row>
      <xdr:rowOff>38100</xdr:rowOff>
    </xdr:from>
    <xdr:to>
      <xdr:col>5</xdr:col>
      <xdr:colOff>1190625</xdr:colOff>
      <xdr:row>25</xdr:row>
      <xdr:rowOff>257175</xdr:rowOff>
    </xdr:to>
    <xdr:sp macro="" textlink="">
      <xdr:nvSpPr>
        <xdr:cNvPr id="458" name="CaixaDeTexto 457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26</xdr:row>
      <xdr:rowOff>104775</xdr:rowOff>
    </xdr:from>
    <xdr:to>
      <xdr:col>4</xdr:col>
      <xdr:colOff>333375</xdr:colOff>
      <xdr:row>26</xdr:row>
      <xdr:rowOff>266700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26</xdr:row>
      <xdr:rowOff>104775</xdr:rowOff>
    </xdr:from>
    <xdr:to>
      <xdr:col>5</xdr:col>
      <xdr:colOff>523875</xdr:colOff>
      <xdr:row>26</xdr:row>
      <xdr:rowOff>266700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26</xdr:row>
      <xdr:rowOff>57150</xdr:rowOff>
    </xdr:from>
    <xdr:to>
      <xdr:col>5</xdr:col>
      <xdr:colOff>76200</xdr:colOff>
      <xdr:row>26</xdr:row>
      <xdr:rowOff>276225</xdr:rowOff>
    </xdr:to>
    <xdr:sp macro="" textlink="">
      <xdr:nvSpPr>
        <xdr:cNvPr id="461" name="CaixaDeTexto 460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26</xdr:row>
      <xdr:rowOff>38100</xdr:rowOff>
    </xdr:from>
    <xdr:to>
      <xdr:col>5</xdr:col>
      <xdr:colOff>1190625</xdr:colOff>
      <xdr:row>26</xdr:row>
      <xdr:rowOff>257175</xdr:rowOff>
    </xdr:to>
    <xdr:sp macro="" textlink="">
      <xdr:nvSpPr>
        <xdr:cNvPr id="462" name="CaixaDeTexto 461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27</xdr:row>
      <xdr:rowOff>104775</xdr:rowOff>
    </xdr:from>
    <xdr:to>
      <xdr:col>4</xdr:col>
      <xdr:colOff>333375</xdr:colOff>
      <xdr:row>27</xdr:row>
      <xdr:rowOff>266700</xdr:rowOff>
    </xdr:to>
    <xdr:sp macro="" textlink="">
      <xdr:nvSpPr>
        <xdr:cNvPr id="463" name="Retângulo 462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27</xdr:row>
      <xdr:rowOff>104775</xdr:rowOff>
    </xdr:from>
    <xdr:to>
      <xdr:col>5</xdr:col>
      <xdr:colOff>523875</xdr:colOff>
      <xdr:row>27</xdr:row>
      <xdr:rowOff>266700</xdr:rowOff>
    </xdr:to>
    <xdr:sp macro="" textlink="">
      <xdr:nvSpPr>
        <xdr:cNvPr id="464" name="Retângulo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27</xdr:row>
      <xdr:rowOff>57150</xdr:rowOff>
    </xdr:from>
    <xdr:to>
      <xdr:col>5</xdr:col>
      <xdr:colOff>76200</xdr:colOff>
      <xdr:row>27</xdr:row>
      <xdr:rowOff>276225</xdr:rowOff>
    </xdr:to>
    <xdr:sp macro="" textlink="">
      <xdr:nvSpPr>
        <xdr:cNvPr id="465" name="CaixaDeTexto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27</xdr:row>
      <xdr:rowOff>38100</xdr:rowOff>
    </xdr:from>
    <xdr:to>
      <xdr:col>5</xdr:col>
      <xdr:colOff>1190625</xdr:colOff>
      <xdr:row>27</xdr:row>
      <xdr:rowOff>257175</xdr:rowOff>
    </xdr:to>
    <xdr:sp macro="" textlink="">
      <xdr:nvSpPr>
        <xdr:cNvPr id="466" name="CaixaDeTexto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28</xdr:row>
      <xdr:rowOff>104775</xdr:rowOff>
    </xdr:from>
    <xdr:to>
      <xdr:col>4</xdr:col>
      <xdr:colOff>333375</xdr:colOff>
      <xdr:row>28</xdr:row>
      <xdr:rowOff>266700</xdr:rowOff>
    </xdr:to>
    <xdr:sp macro="" textlink="">
      <xdr:nvSpPr>
        <xdr:cNvPr id="467" name="Retângulo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28</xdr:row>
      <xdr:rowOff>104775</xdr:rowOff>
    </xdr:from>
    <xdr:to>
      <xdr:col>5</xdr:col>
      <xdr:colOff>523875</xdr:colOff>
      <xdr:row>28</xdr:row>
      <xdr:rowOff>266700</xdr:rowOff>
    </xdr:to>
    <xdr:sp macro="" textlink="">
      <xdr:nvSpPr>
        <xdr:cNvPr id="468" name="Retângulo 467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28</xdr:row>
      <xdr:rowOff>57150</xdr:rowOff>
    </xdr:from>
    <xdr:to>
      <xdr:col>5</xdr:col>
      <xdr:colOff>76200</xdr:colOff>
      <xdr:row>28</xdr:row>
      <xdr:rowOff>276225</xdr:rowOff>
    </xdr:to>
    <xdr:sp macro="" textlink="">
      <xdr:nvSpPr>
        <xdr:cNvPr id="469" name="CaixaDeTexto 46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28</xdr:row>
      <xdr:rowOff>38100</xdr:rowOff>
    </xdr:from>
    <xdr:to>
      <xdr:col>5</xdr:col>
      <xdr:colOff>1190625</xdr:colOff>
      <xdr:row>28</xdr:row>
      <xdr:rowOff>257175</xdr:rowOff>
    </xdr:to>
    <xdr:sp macro="" textlink="">
      <xdr:nvSpPr>
        <xdr:cNvPr id="470" name="CaixaDeTexto 46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29</xdr:row>
      <xdr:rowOff>104775</xdr:rowOff>
    </xdr:from>
    <xdr:to>
      <xdr:col>4</xdr:col>
      <xdr:colOff>333375</xdr:colOff>
      <xdr:row>29</xdr:row>
      <xdr:rowOff>266700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29</xdr:row>
      <xdr:rowOff>104775</xdr:rowOff>
    </xdr:from>
    <xdr:to>
      <xdr:col>5</xdr:col>
      <xdr:colOff>523875</xdr:colOff>
      <xdr:row>29</xdr:row>
      <xdr:rowOff>266700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29</xdr:row>
      <xdr:rowOff>57150</xdr:rowOff>
    </xdr:from>
    <xdr:to>
      <xdr:col>5</xdr:col>
      <xdr:colOff>76200</xdr:colOff>
      <xdr:row>29</xdr:row>
      <xdr:rowOff>276225</xdr:rowOff>
    </xdr:to>
    <xdr:sp macro="" textlink="">
      <xdr:nvSpPr>
        <xdr:cNvPr id="473" name="CaixaDeTexto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29</xdr:row>
      <xdr:rowOff>38100</xdr:rowOff>
    </xdr:from>
    <xdr:to>
      <xdr:col>5</xdr:col>
      <xdr:colOff>1190625</xdr:colOff>
      <xdr:row>29</xdr:row>
      <xdr:rowOff>257175</xdr:rowOff>
    </xdr:to>
    <xdr:sp macro="" textlink="">
      <xdr:nvSpPr>
        <xdr:cNvPr id="474" name="CaixaDeTexto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30</xdr:row>
      <xdr:rowOff>104775</xdr:rowOff>
    </xdr:from>
    <xdr:to>
      <xdr:col>4</xdr:col>
      <xdr:colOff>333375</xdr:colOff>
      <xdr:row>30</xdr:row>
      <xdr:rowOff>266700</xdr:rowOff>
    </xdr:to>
    <xdr:sp macro="" textlink="">
      <xdr:nvSpPr>
        <xdr:cNvPr id="475" name="Retângulo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30</xdr:row>
      <xdr:rowOff>104775</xdr:rowOff>
    </xdr:from>
    <xdr:to>
      <xdr:col>5</xdr:col>
      <xdr:colOff>523875</xdr:colOff>
      <xdr:row>30</xdr:row>
      <xdr:rowOff>266700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30</xdr:row>
      <xdr:rowOff>57150</xdr:rowOff>
    </xdr:from>
    <xdr:to>
      <xdr:col>5</xdr:col>
      <xdr:colOff>76200</xdr:colOff>
      <xdr:row>30</xdr:row>
      <xdr:rowOff>276225</xdr:rowOff>
    </xdr:to>
    <xdr:sp macro="" textlink="">
      <xdr:nvSpPr>
        <xdr:cNvPr id="477" name="CaixaDeTexto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30</xdr:row>
      <xdr:rowOff>38100</xdr:rowOff>
    </xdr:from>
    <xdr:to>
      <xdr:col>5</xdr:col>
      <xdr:colOff>1190625</xdr:colOff>
      <xdr:row>30</xdr:row>
      <xdr:rowOff>257175</xdr:rowOff>
    </xdr:to>
    <xdr:sp macro="" textlink="">
      <xdr:nvSpPr>
        <xdr:cNvPr id="478" name="CaixaDeTexto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31</xdr:row>
      <xdr:rowOff>104775</xdr:rowOff>
    </xdr:from>
    <xdr:to>
      <xdr:col>4</xdr:col>
      <xdr:colOff>333375</xdr:colOff>
      <xdr:row>31</xdr:row>
      <xdr:rowOff>266700</xdr:rowOff>
    </xdr:to>
    <xdr:sp macro="" textlink="">
      <xdr:nvSpPr>
        <xdr:cNvPr id="479" name="Retângulo 478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31</xdr:row>
      <xdr:rowOff>104775</xdr:rowOff>
    </xdr:from>
    <xdr:to>
      <xdr:col>5</xdr:col>
      <xdr:colOff>523875</xdr:colOff>
      <xdr:row>31</xdr:row>
      <xdr:rowOff>266700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31</xdr:row>
      <xdr:rowOff>57150</xdr:rowOff>
    </xdr:from>
    <xdr:to>
      <xdr:col>5</xdr:col>
      <xdr:colOff>76200</xdr:colOff>
      <xdr:row>31</xdr:row>
      <xdr:rowOff>276225</xdr:rowOff>
    </xdr:to>
    <xdr:sp macro="" textlink="">
      <xdr:nvSpPr>
        <xdr:cNvPr id="481" name="CaixaDeTexto 480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31</xdr:row>
      <xdr:rowOff>38100</xdr:rowOff>
    </xdr:from>
    <xdr:to>
      <xdr:col>5</xdr:col>
      <xdr:colOff>1190625</xdr:colOff>
      <xdr:row>31</xdr:row>
      <xdr:rowOff>257175</xdr:rowOff>
    </xdr:to>
    <xdr:sp macro="" textlink="">
      <xdr:nvSpPr>
        <xdr:cNvPr id="482" name="CaixaDeTexto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32</xdr:row>
      <xdr:rowOff>104775</xdr:rowOff>
    </xdr:from>
    <xdr:to>
      <xdr:col>4</xdr:col>
      <xdr:colOff>333375</xdr:colOff>
      <xdr:row>32</xdr:row>
      <xdr:rowOff>266700</xdr:rowOff>
    </xdr:to>
    <xdr:sp macro="" textlink="">
      <xdr:nvSpPr>
        <xdr:cNvPr id="483" name="Retângulo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32</xdr:row>
      <xdr:rowOff>104775</xdr:rowOff>
    </xdr:from>
    <xdr:to>
      <xdr:col>5</xdr:col>
      <xdr:colOff>523875</xdr:colOff>
      <xdr:row>32</xdr:row>
      <xdr:rowOff>266700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32</xdr:row>
      <xdr:rowOff>57150</xdr:rowOff>
    </xdr:from>
    <xdr:to>
      <xdr:col>5</xdr:col>
      <xdr:colOff>76200</xdr:colOff>
      <xdr:row>32</xdr:row>
      <xdr:rowOff>276225</xdr:rowOff>
    </xdr:to>
    <xdr:sp macro="" textlink="">
      <xdr:nvSpPr>
        <xdr:cNvPr id="485" name="CaixaDeTexto 484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32</xdr:row>
      <xdr:rowOff>38100</xdr:rowOff>
    </xdr:from>
    <xdr:to>
      <xdr:col>5</xdr:col>
      <xdr:colOff>1190625</xdr:colOff>
      <xdr:row>32</xdr:row>
      <xdr:rowOff>257175</xdr:rowOff>
    </xdr:to>
    <xdr:sp macro="" textlink="">
      <xdr:nvSpPr>
        <xdr:cNvPr id="486" name="CaixaDeTexto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33</xdr:row>
      <xdr:rowOff>104775</xdr:rowOff>
    </xdr:from>
    <xdr:to>
      <xdr:col>4</xdr:col>
      <xdr:colOff>333375</xdr:colOff>
      <xdr:row>33</xdr:row>
      <xdr:rowOff>266700</xdr:rowOff>
    </xdr:to>
    <xdr:sp macro="" textlink="">
      <xdr:nvSpPr>
        <xdr:cNvPr id="487" name="Retângulo 486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33</xdr:row>
      <xdr:rowOff>104775</xdr:rowOff>
    </xdr:from>
    <xdr:to>
      <xdr:col>5</xdr:col>
      <xdr:colOff>523875</xdr:colOff>
      <xdr:row>33</xdr:row>
      <xdr:rowOff>266700</xdr:rowOff>
    </xdr:to>
    <xdr:sp macro="" textlink="">
      <xdr:nvSpPr>
        <xdr:cNvPr id="488" name="Retângulo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33</xdr:row>
      <xdr:rowOff>57150</xdr:rowOff>
    </xdr:from>
    <xdr:to>
      <xdr:col>5</xdr:col>
      <xdr:colOff>76200</xdr:colOff>
      <xdr:row>33</xdr:row>
      <xdr:rowOff>276225</xdr:rowOff>
    </xdr:to>
    <xdr:sp macro="" textlink="">
      <xdr:nvSpPr>
        <xdr:cNvPr id="489" name="CaixaDeTexto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33</xdr:row>
      <xdr:rowOff>38100</xdr:rowOff>
    </xdr:from>
    <xdr:to>
      <xdr:col>5</xdr:col>
      <xdr:colOff>1190625</xdr:colOff>
      <xdr:row>33</xdr:row>
      <xdr:rowOff>257175</xdr:rowOff>
    </xdr:to>
    <xdr:sp macro="" textlink="">
      <xdr:nvSpPr>
        <xdr:cNvPr id="490" name="CaixaDeTexto 48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34</xdr:row>
      <xdr:rowOff>104775</xdr:rowOff>
    </xdr:from>
    <xdr:to>
      <xdr:col>4</xdr:col>
      <xdr:colOff>333375</xdr:colOff>
      <xdr:row>34</xdr:row>
      <xdr:rowOff>266700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34</xdr:row>
      <xdr:rowOff>104775</xdr:rowOff>
    </xdr:from>
    <xdr:to>
      <xdr:col>5</xdr:col>
      <xdr:colOff>523875</xdr:colOff>
      <xdr:row>34</xdr:row>
      <xdr:rowOff>266700</xdr:rowOff>
    </xdr:to>
    <xdr:sp macro="" textlink="">
      <xdr:nvSpPr>
        <xdr:cNvPr id="492" name="Retângulo 491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34</xdr:row>
      <xdr:rowOff>57150</xdr:rowOff>
    </xdr:from>
    <xdr:to>
      <xdr:col>5</xdr:col>
      <xdr:colOff>76200</xdr:colOff>
      <xdr:row>34</xdr:row>
      <xdr:rowOff>276225</xdr:rowOff>
    </xdr:to>
    <xdr:sp macro="" textlink="">
      <xdr:nvSpPr>
        <xdr:cNvPr id="493" name="CaixaDeTexto 492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34</xdr:row>
      <xdr:rowOff>38100</xdr:rowOff>
    </xdr:from>
    <xdr:to>
      <xdr:col>5</xdr:col>
      <xdr:colOff>1190625</xdr:colOff>
      <xdr:row>34</xdr:row>
      <xdr:rowOff>257175</xdr:rowOff>
    </xdr:to>
    <xdr:sp macro="" textlink="">
      <xdr:nvSpPr>
        <xdr:cNvPr id="494" name="CaixaDeTexto 493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35</xdr:row>
      <xdr:rowOff>104775</xdr:rowOff>
    </xdr:from>
    <xdr:to>
      <xdr:col>4</xdr:col>
      <xdr:colOff>333375</xdr:colOff>
      <xdr:row>35</xdr:row>
      <xdr:rowOff>266700</xdr:rowOff>
    </xdr:to>
    <xdr:sp macro="" textlink="">
      <xdr:nvSpPr>
        <xdr:cNvPr id="495" name="Retângulo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35</xdr:row>
      <xdr:rowOff>104775</xdr:rowOff>
    </xdr:from>
    <xdr:to>
      <xdr:col>5</xdr:col>
      <xdr:colOff>523875</xdr:colOff>
      <xdr:row>35</xdr:row>
      <xdr:rowOff>266700</xdr:rowOff>
    </xdr:to>
    <xdr:sp macro="" textlink="">
      <xdr:nvSpPr>
        <xdr:cNvPr id="496" name="Retângulo 495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35</xdr:row>
      <xdr:rowOff>57150</xdr:rowOff>
    </xdr:from>
    <xdr:to>
      <xdr:col>5</xdr:col>
      <xdr:colOff>76200</xdr:colOff>
      <xdr:row>35</xdr:row>
      <xdr:rowOff>276225</xdr:rowOff>
    </xdr:to>
    <xdr:sp macro="" textlink="">
      <xdr:nvSpPr>
        <xdr:cNvPr id="497" name="CaixaDeTexto 496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35</xdr:row>
      <xdr:rowOff>38100</xdr:rowOff>
    </xdr:from>
    <xdr:to>
      <xdr:col>5</xdr:col>
      <xdr:colOff>1190625</xdr:colOff>
      <xdr:row>35</xdr:row>
      <xdr:rowOff>257175</xdr:rowOff>
    </xdr:to>
    <xdr:sp macro="" textlink="">
      <xdr:nvSpPr>
        <xdr:cNvPr id="498" name="CaixaDeTexto 497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36</xdr:row>
      <xdr:rowOff>104775</xdr:rowOff>
    </xdr:from>
    <xdr:to>
      <xdr:col>4</xdr:col>
      <xdr:colOff>333375</xdr:colOff>
      <xdr:row>36</xdr:row>
      <xdr:rowOff>266700</xdr:rowOff>
    </xdr:to>
    <xdr:sp macro="" textlink="">
      <xdr:nvSpPr>
        <xdr:cNvPr id="499" name="Retângulo 498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36</xdr:row>
      <xdr:rowOff>104775</xdr:rowOff>
    </xdr:from>
    <xdr:to>
      <xdr:col>5</xdr:col>
      <xdr:colOff>523875</xdr:colOff>
      <xdr:row>36</xdr:row>
      <xdr:rowOff>266700</xdr:rowOff>
    </xdr:to>
    <xdr:sp macro="" textlink="">
      <xdr:nvSpPr>
        <xdr:cNvPr id="500" name="Retângulo 499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36</xdr:row>
      <xdr:rowOff>57150</xdr:rowOff>
    </xdr:from>
    <xdr:to>
      <xdr:col>5</xdr:col>
      <xdr:colOff>76200</xdr:colOff>
      <xdr:row>36</xdr:row>
      <xdr:rowOff>276225</xdr:rowOff>
    </xdr:to>
    <xdr:sp macro="" textlink="">
      <xdr:nvSpPr>
        <xdr:cNvPr id="501" name="CaixaDeTexto 500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36</xdr:row>
      <xdr:rowOff>38100</xdr:rowOff>
    </xdr:from>
    <xdr:to>
      <xdr:col>5</xdr:col>
      <xdr:colOff>1190625</xdr:colOff>
      <xdr:row>36</xdr:row>
      <xdr:rowOff>257175</xdr:rowOff>
    </xdr:to>
    <xdr:sp macro="" textlink="">
      <xdr:nvSpPr>
        <xdr:cNvPr id="502" name="CaixaDeTexto 501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37</xdr:row>
      <xdr:rowOff>104775</xdr:rowOff>
    </xdr:from>
    <xdr:to>
      <xdr:col>4</xdr:col>
      <xdr:colOff>333375</xdr:colOff>
      <xdr:row>37</xdr:row>
      <xdr:rowOff>266700</xdr:rowOff>
    </xdr:to>
    <xdr:sp macro="" textlink="">
      <xdr:nvSpPr>
        <xdr:cNvPr id="503" name="Retângulo 502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37</xdr:row>
      <xdr:rowOff>104775</xdr:rowOff>
    </xdr:from>
    <xdr:to>
      <xdr:col>5</xdr:col>
      <xdr:colOff>523875</xdr:colOff>
      <xdr:row>37</xdr:row>
      <xdr:rowOff>266700</xdr:rowOff>
    </xdr:to>
    <xdr:sp macro="" textlink="">
      <xdr:nvSpPr>
        <xdr:cNvPr id="504" name="Retângulo 503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37</xdr:row>
      <xdr:rowOff>57150</xdr:rowOff>
    </xdr:from>
    <xdr:to>
      <xdr:col>5</xdr:col>
      <xdr:colOff>76200</xdr:colOff>
      <xdr:row>37</xdr:row>
      <xdr:rowOff>276225</xdr:rowOff>
    </xdr:to>
    <xdr:sp macro="" textlink="">
      <xdr:nvSpPr>
        <xdr:cNvPr id="505" name="CaixaDeTexto 504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37</xdr:row>
      <xdr:rowOff>38100</xdr:rowOff>
    </xdr:from>
    <xdr:to>
      <xdr:col>5</xdr:col>
      <xdr:colOff>1190625</xdr:colOff>
      <xdr:row>37</xdr:row>
      <xdr:rowOff>257175</xdr:rowOff>
    </xdr:to>
    <xdr:sp macro="" textlink="">
      <xdr:nvSpPr>
        <xdr:cNvPr id="506" name="CaixaDeTexto 505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38</xdr:row>
      <xdr:rowOff>104775</xdr:rowOff>
    </xdr:from>
    <xdr:to>
      <xdr:col>4</xdr:col>
      <xdr:colOff>333375</xdr:colOff>
      <xdr:row>38</xdr:row>
      <xdr:rowOff>266700</xdr:rowOff>
    </xdr:to>
    <xdr:sp macro="" textlink="">
      <xdr:nvSpPr>
        <xdr:cNvPr id="507" name="Retângulo 506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38</xdr:row>
      <xdr:rowOff>104775</xdr:rowOff>
    </xdr:from>
    <xdr:to>
      <xdr:col>5</xdr:col>
      <xdr:colOff>523875</xdr:colOff>
      <xdr:row>38</xdr:row>
      <xdr:rowOff>266700</xdr:rowOff>
    </xdr:to>
    <xdr:sp macro="" textlink="">
      <xdr:nvSpPr>
        <xdr:cNvPr id="508" name="Retângulo 507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38</xdr:row>
      <xdr:rowOff>57150</xdr:rowOff>
    </xdr:from>
    <xdr:to>
      <xdr:col>5</xdr:col>
      <xdr:colOff>76200</xdr:colOff>
      <xdr:row>38</xdr:row>
      <xdr:rowOff>276225</xdr:rowOff>
    </xdr:to>
    <xdr:sp macro="" textlink="">
      <xdr:nvSpPr>
        <xdr:cNvPr id="509" name="CaixaDeTexto 508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38</xdr:row>
      <xdr:rowOff>38100</xdr:rowOff>
    </xdr:from>
    <xdr:to>
      <xdr:col>5</xdr:col>
      <xdr:colOff>1190625</xdr:colOff>
      <xdr:row>38</xdr:row>
      <xdr:rowOff>257175</xdr:rowOff>
    </xdr:to>
    <xdr:sp macro="" textlink="">
      <xdr:nvSpPr>
        <xdr:cNvPr id="510" name="CaixaDeTexto 509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39</xdr:row>
      <xdr:rowOff>104775</xdr:rowOff>
    </xdr:from>
    <xdr:to>
      <xdr:col>4</xdr:col>
      <xdr:colOff>333375</xdr:colOff>
      <xdr:row>39</xdr:row>
      <xdr:rowOff>266700</xdr:rowOff>
    </xdr:to>
    <xdr:sp macro="" textlink="">
      <xdr:nvSpPr>
        <xdr:cNvPr id="511" name="Retângulo 510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39</xdr:row>
      <xdr:rowOff>104775</xdr:rowOff>
    </xdr:from>
    <xdr:to>
      <xdr:col>5</xdr:col>
      <xdr:colOff>523875</xdr:colOff>
      <xdr:row>39</xdr:row>
      <xdr:rowOff>266700</xdr:rowOff>
    </xdr:to>
    <xdr:sp macro="" textlink="">
      <xdr:nvSpPr>
        <xdr:cNvPr id="512" name="Retângulo 511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39</xdr:row>
      <xdr:rowOff>57150</xdr:rowOff>
    </xdr:from>
    <xdr:to>
      <xdr:col>5</xdr:col>
      <xdr:colOff>76200</xdr:colOff>
      <xdr:row>39</xdr:row>
      <xdr:rowOff>276225</xdr:rowOff>
    </xdr:to>
    <xdr:sp macro="" textlink="">
      <xdr:nvSpPr>
        <xdr:cNvPr id="513" name="CaixaDeTexto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39</xdr:row>
      <xdr:rowOff>38100</xdr:rowOff>
    </xdr:from>
    <xdr:to>
      <xdr:col>5</xdr:col>
      <xdr:colOff>1190625</xdr:colOff>
      <xdr:row>39</xdr:row>
      <xdr:rowOff>257175</xdr:rowOff>
    </xdr:to>
    <xdr:sp macro="" textlink="">
      <xdr:nvSpPr>
        <xdr:cNvPr id="514" name="CaixaDeTexto 513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40</xdr:row>
      <xdr:rowOff>104775</xdr:rowOff>
    </xdr:from>
    <xdr:to>
      <xdr:col>4</xdr:col>
      <xdr:colOff>333375</xdr:colOff>
      <xdr:row>40</xdr:row>
      <xdr:rowOff>266700</xdr:rowOff>
    </xdr:to>
    <xdr:sp macro="" textlink="">
      <xdr:nvSpPr>
        <xdr:cNvPr id="515" name="Retângulo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40</xdr:row>
      <xdr:rowOff>104775</xdr:rowOff>
    </xdr:from>
    <xdr:to>
      <xdr:col>5</xdr:col>
      <xdr:colOff>523875</xdr:colOff>
      <xdr:row>40</xdr:row>
      <xdr:rowOff>266700</xdr:rowOff>
    </xdr:to>
    <xdr:sp macro="" textlink="">
      <xdr:nvSpPr>
        <xdr:cNvPr id="516" name="Retângulo 51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40</xdr:row>
      <xdr:rowOff>57150</xdr:rowOff>
    </xdr:from>
    <xdr:to>
      <xdr:col>5</xdr:col>
      <xdr:colOff>76200</xdr:colOff>
      <xdr:row>40</xdr:row>
      <xdr:rowOff>276225</xdr:rowOff>
    </xdr:to>
    <xdr:sp macro="" textlink="">
      <xdr:nvSpPr>
        <xdr:cNvPr id="517" name="CaixaDeTexto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40</xdr:row>
      <xdr:rowOff>38100</xdr:rowOff>
    </xdr:from>
    <xdr:to>
      <xdr:col>5</xdr:col>
      <xdr:colOff>1190625</xdr:colOff>
      <xdr:row>40</xdr:row>
      <xdr:rowOff>257175</xdr:rowOff>
    </xdr:to>
    <xdr:sp macro="" textlink="">
      <xdr:nvSpPr>
        <xdr:cNvPr id="518" name="CaixaDeTexto 517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41</xdr:row>
      <xdr:rowOff>104775</xdr:rowOff>
    </xdr:from>
    <xdr:to>
      <xdr:col>4</xdr:col>
      <xdr:colOff>333375</xdr:colOff>
      <xdr:row>41</xdr:row>
      <xdr:rowOff>266700</xdr:rowOff>
    </xdr:to>
    <xdr:sp macro="" textlink="">
      <xdr:nvSpPr>
        <xdr:cNvPr id="519" name="Retângulo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41</xdr:row>
      <xdr:rowOff>104775</xdr:rowOff>
    </xdr:from>
    <xdr:to>
      <xdr:col>5</xdr:col>
      <xdr:colOff>523875</xdr:colOff>
      <xdr:row>41</xdr:row>
      <xdr:rowOff>266700</xdr:rowOff>
    </xdr:to>
    <xdr:sp macro="" textlink="">
      <xdr:nvSpPr>
        <xdr:cNvPr id="520" name="Retângulo 519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41</xdr:row>
      <xdr:rowOff>57150</xdr:rowOff>
    </xdr:from>
    <xdr:to>
      <xdr:col>5</xdr:col>
      <xdr:colOff>76200</xdr:colOff>
      <xdr:row>41</xdr:row>
      <xdr:rowOff>276225</xdr:rowOff>
    </xdr:to>
    <xdr:sp macro="" textlink="">
      <xdr:nvSpPr>
        <xdr:cNvPr id="521" name="CaixaDeTexto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41</xdr:row>
      <xdr:rowOff>38100</xdr:rowOff>
    </xdr:from>
    <xdr:to>
      <xdr:col>5</xdr:col>
      <xdr:colOff>1190625</xdr:colOff>
      <xdr:row>41</xdr:row>
      <xdr:rowOff>257175</xdr:rowOff>
    </xdr:to>
    <xdr:sp macro="" textlink="">
      <xdr:nvSpPr>
        <xdr:cNvPr id="522" name="CaixaDeTexto 521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42</xdr:row>
      <xdr:rowOff>104775</xdr:rowOff>
    </xdr:from>
    <xdr:to>
      <xdr:col>4</xdr:col>
      <xdr:colOff>333375</xdr:colOff>
      <xdr:row>42</xdr:row>
      <xdr:rowOff>266700</xdr:rowOff>
    </xdr:to>
    <xdr:sp macro="" textlink="">
      <xdr:nvSpPr>
        <xdr:cNvPr id="523" name="Retângulo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42</xdr:row>
      <xdr:rowOff>104775</xdr:rowOff>
    </xdr:from>
    <xdr:to>
      <xdr:col>5</xdr:col>
      <xdr:colOff>523875</xdr:colOff>
      <xdr:row>42</xdr:row>
      <xdr:rowOff>266700</xdr:rowOff>
    </xdr:to>
    <xdr:sp macro="" textlink="">
      <xdr:nvSpPr>
        <xdr:cNvPr id="524" name="Retângulo 523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42</xdr:row>
      <xdr:rowOff>57150</xdr:rowOff>
    </xdr:from>
    <xdr:to>
      <xdr:col>5</xdr:col>
      <xdr:colOff>76200</xdr:colOff>
      <xdr:row>42</xdr:row>
      <xdr:rowOff>276225</xdr:rowOff>
    </xdr:to>
    <xdr:sp macro="" textlink="">
      <xdr:nvSpPr>
        <xdr:cNvPr id="525" name="CaixaDeTexto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42</xdr:row>
      <xdr:rowOff>38100</xdr:rowOff>
    </xdr:from>
    <xdr:to>
      <xdr:col>5</xdr:col>
      <xdr:colOff>1190625</xdr:colOff>
      <xdr:row>42</xdr:row>
      <xdr:rowOff>257175</xdr:rowOff>
    </xdr:to>
    <xdr:sp macro="" textlink="">
      <xdr:nvSpPr>
        <xdr:cNvPr id="526" name="CaixaDeTexto 525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43</xdr:row>
      <xdr:rowOff>104775</xdr:rowOff>
    </xdr:from>
    <xdr:to>
      <xdr:col>4</xdr:col>
      <xdr:colOff>333375</xdr:colOff>
      <xdr:row>43</xdr:row>
      <xdr:rowOff>266700</xdr:rowOff>
    </xdr:to>
    <xdr:sp macro="" textlink="">
      <xdr:nvSpPr>
        <xdr:cNvPr id="527" name="Retângulo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43</xdr:row>
      <xdr:rowOff>104775</xdr:rowOff>
    </xdr:from>
    <xdr:to>
      <xdr:col>5</xdr:col>
      <xdr:colOff>523875</xdr:colOff>
      <xdr:row>43</xdr:row>
      <xdr:rowOff>266700</xdr:rowOff>
    </xdr:to>
    <xdr:sp macro="" textlink="">
      <xdr:nvSpPr>
        <xdr:cNvPr id="528" name="Retângulo 527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43</xdr:row>
      <xdr:rowOff>57150</xdr:rowOff>
    </xdr:from>
    <xdr:to>
      <xdr:col>5</xdr:col>
      <xdr:colOff>76200</xdr:colOff>
      <xdr:row>43</xdr:row>
      <xdr:rowOff>276225</xdr:rowOff>
    </xdr:to>
    <xdr:sp macro="" textlink="">
      <xdr:nvSpPr>
        <xdr:cNvPr id="529" name="CaixaDeTexto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43</xdr:row>
      <xdr:rowOff>38100</xdr:rowOff>
    </xdr:from>
    <xdr:to>
      <xdr:col>5</xdr:col>
      <xdr:colOff>1190625</xdr:colOff>
      <xdr:row>43</xdr:row>
      <xdr:rowOff>257175</xdr:rowOff>
    </xdr:to>
    <xdr:sp macro="" textlink="">
      <xdr:nvSpPr>
        <xdr:cNvPr id="530" name="CaixaDeTexto 529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44</xdr:row>
      <xdr:rowOff>104775</xdr:rowOff>
    </xdr:from>
    <xdr:to>
      <xdr:col>4</xdr:col>
      <xdr:colOff>333375</xdr:colOff>
      <xdr:row>44</xdr:row>
      <xdr:rowOff>266700</xdr:rowOff>
    </xdr:to>
    <xdr:sp macro="" textlink="">
      <xdr:nvSpPr>
        <xdr:cNvPr id="531" name="Retângulo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44</xdr:row>
      <xdr:rowOff>104775</xdr:rowOff>
    </xdr:from>
    <xdr:to>
      <xdr:col>5</xdr:col>
      <xdr:colOff>523875</xdr:colOff>
      <xdr:row>44</xdr:row>
      <xdr:rowOff>266700</xdr:rowOff>
    </xdr:to>
    <xdr:sp macro="" textlink="">
      <xdr:nvSpPr>
        <xdr:cNvPr id="532" name="Retângulo 531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44</xdr:row>
      <xdr:rowOff>57150</xdr:rowOff>
    </xdr:from>
    <xdr:to>
      <xdr:col>5</xdr:col>
      <xdr:colOff>76200</xdr:colOff>
      <xdr:row>44</xdr:row>
      <xdr:rowOff>276225</xdr:rowOff>
    </xdr:to>
    <xdr:sp macro="" textlink="">
      <xdr:nvSpPr>
        <xdr:cNvPr id="533" name="CaixaDeTexto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44</xdr:row>
      <xdr:rowOff>38100</xdr:rowOff>
    </xdr:from>
    <xdr:to>
      <xdr:col>5</xdr:col>
      <xdr:colOff>1190625</xdr:colOff>
      <xdr:row>44</xdr:row>
      <xdr:rowOff>257175</xdr:rowOff>
    </xdr:to>
    <xdr:sp macro="" textlink="">
      <xdr:nvSpPr>
        <xdr:cNvPr id="534" name="CaixaDeTexto 533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45</xdr:row>
      <xdr:rowOff>104775</xdr:rowOff>
    </xdr:from>
    <xdr:to>
      <xdr:col>4</xdr:col>
      <xdr:colOff>333375</xdr:colOff>
      <xdr:row>45</xdr:row>
      <xdr:rowOff>266700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45</xdr:row>
      <xdr:rowOff>104775</xdr:rowOff>
    </xdr:from>
    <xdr:to>
      <xdr:col>5</xdr:col>
      <xdr:colOff>523875</xdr:colOff>
      <xdr:row>45</xdr:row>
      <xdr:rowOff>266700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45</xdr:row>
      <xdr:rowOff>57150</xdr:rowOff>
    </xdr:from>
    <xdr:to>
      <xdr:col>5</xdr:col>
      <xdr:colOff>76200</xdr:colOff>
      <xdr:row>45</xdr:row>
      <xdr:rowOff>276225</xdr:rowOff>
    </xdr:to>
    <xdr:sp macro="" textlink="">
      <xdr:nvSpPr>
        <xdr:cNvPr id="537" name="CaixaDeTexto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45</xdr:row>
      <xdr:rowOff>38100</xdr:rowOff>
    </xdr:from>
    <xdr:to>
      <xdr:col>5</xdr:col>
      <xdr:colOff>1190625</xdr:colOff>
      <xdr:row>45</xdr:row>
      <xdr:rowOff>257175</xdr:rowOff>
    </xdr:to>
    <xdr:sp macro="" textlink="">
      <xdr:nvSpPr>
        <xdr:cNvPr id="538" name="CaixaDeTexto 537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46</xdr:row>
      <xdr:rowOff>104775</xdr:rowOff>
    </xdr:from>
    <xdr:to>
      <xdr:col>4</xdr:col>
      <xdr:colOff>333375</xdr:colOff>
      <xdr:row>46</xdr:row>
      <xdr:rowOff>266700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46</xdr:row>
      <xdr:rowOff>104775</xdr:rowOff>
    </xdr:from>
    <xdr:to>
      <xdr:col>5</xdr:col>
      <xdr:colOff>523875</xdr:colOff>
      <xdr:row>46</xdr:row>
      <xdr:rowOff>266700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46</xdr:row>
      <xdr:rowOff>57150</xdr:rowOff>
    </xdr:from>
    <xdr:to>
      <xdr:col>5</xdr:col>
      <xdr:colOff>76200</xdr:colOff>
      <xdr:row>46</xdr:row>
      <xdr:rowOff>276225</xdr:rowOff>
    </xdr:to>
    <xdr:sp macro="" textlink="">
      <xdr:nvSpPr>
        <xdr:cNvPr id="541" name="CaixaDeTexto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46</xdr:row>
      <xdr:rowOff>38100</xdr:rowOff>
    </xdr:from>
    <xdr:to>
      <xdr:col>5</xdr:col>
      <xdr:colOff>1190625</xdr:colOff>
      <xdr:row>46</xdr:row>
      <xdr:rowOff>257175</xdr:rowOff>
    </xdr:to>
    <xdr:sp macro="" textlink="">
      <xdr:nvSpPr>
        <xdr:cNvPr id="542" name="CaixaDeTexto 541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47</xdr:row>
      <xdr:rowOff>104775</xdr:rowOff>
    </xdr:from>
    <xdr:to>
      <xdr:col>4</xdr:col>
      <xdr:colOff>333375</xdr:colOff>
      <xdr:row>47</xdr:row>
      <xdr:rowOff>266700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47</xdr:row>
      <xdr:rowOff>104775</xdr:rowOff>
    </xdr:from>
    <xdr:to>
      <xdr:col>5</xdr:col>
      <xdr:colOff>523875</xdr:colOff>
      <xdr:row>47</xdr:row>
      <xdr:rowOff>266700</xdr:rowOff>
    </xdr:to>
    <xdr:sp macro="" textlink="">
      <xdr:nvSpPr>
        <xdr:cNvPr id="544" name="Retângulo 543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47</xdr:row>
      <xdr:rowOff>57150</xdr:rowOff>
    </xdr:from>
    <xdr:to>
      <xdr:col>5</xdr:col>
      <xdr:colOff>76200</xdr:colOff>
      <xdr:row>47</xdr:row>
      <xdr:rowOff>276225</xdr:rowOff>
    </xdr:to>
    <xdr:sp macro="" textlink="">
      <xdr:nvSpPr>
        <xdr:cNvPr id="545" name="CaixaDeTexto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47</xdr:row>
      <xdr:rowOff>38100</xdr:rowOff>
    </xdr:from>
    <xdr:to>
      <xdr:col>5</xdr:col>
      <xdr:colOff>1190625</xdr:colOff>
      <xdr:row>47</xdr:row>
      <xdr:rowOff>257175</xdr:rowOff>
    </xdr:to>
    <xdr:sp macro="" textlink="">
      <xdr:nvSpPr>
        <xdr:cNvPr id="546" name="CaixaDeTexto 545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23B8-51FC-4D88-968F-5B581BAD450E}">
  <sheetPr codeName="Planilha1">
    <tabColor rgb="FF3AABCE"/>
  </sheetPr>
  <dimension ref="A1:H51"/>
  <sheetViews>
    <sheetView tabSelected="1" zoomScaleNormal="100" workbookViewId="0">
      <selection activeCell="J10" sqref="J10"/>
    </sheetView>
  </sheetViews>
  <sheetFormatPr defaultColWidth="9.140625" defaultRowHeight="12.75" x14ac:dyDescent="0.2"/>
  <cols>
    <col min="1" max="1" width="0.85546875" customWidth="1"/>
    <col min="2" max="2" width="12.5703125" bestFit="1" customWidth="1"/>
    <col min="3" max="3" width="14.85546875" bestFit="1" customWidth="1"/>
    <col min="4" max="4" width="14.5703125" customWidth="1"/>
    <col min="5" max="5" width="10.42578125" hidden="1" customWidth="1"/>
    <col min="6" max="6" width="13.85546875" hidden="1" customWidth="1"/>
    <col min="7" max="7" width="16.42578125" customWidth="1"/>
    <col min="8" max="8" width="0.7109375" customWidth="1"/>
    <col min="9" max="9" width="6.42578125" customWidth="1"/>
    <col min="10" max="10" width="34" bestFit="1" customWidth="1"/>
    <col min="11" max="11" width="19.42578125" bestFit="1" customWidth="1"/>
  </cols>
  <sheetData>
    <row r="1" spans="1:8" ht="23.25" customHeight="1" x14ac:dyDescent="0.2">
      <c r="A1" s="23"/>
      <c r="B1" s="25" t="s">
        <v>0</v>
      </c>
      <c r="C1" s="25"/>
      <c r="D1" s="25"/>
      <c r="E1" s="25"/>
      <c r="F1" s="25"/>
      <c r="G1" s="25"/>
      <c r="H1" s="23"/>
    </row>
    <row r="2" spans="1:8" ht="15.75" x14ac:dyDescent="0.25">
      <c r="A2" s="24"/>
      <c r="B2" s="14" t="s">
        <v>1</v>
      </c>
      <c r="C2" s="26"/>
      <c r="D2" s="27"/>
      <c r="E2" s="27"/>
      <c r="F2" s="27"/>
      <c r="G2" s="28"/>
      <c r="H2" s="24"/>
    </row>
    <row r="3" spans="1:8" ht="15.75" x14ac:dyDescent="0.25">
      <c r="A3" s="24"/>
      <c r="B3" s="14" t="s">
        <v>2</v>
      </c>
      <c r="C3" s="26"/>
      <c r="D3" s="27"/>
      <c r="E3" s="27"/>
      <c r="F3" s="27"/>
      <c r="G3" s="28"/>
      <c r="H3" s="24"/>
    </row>
    <row r="4" spans="1:8" ht="15" customHeight="1" x14ac:dyDescent="0.25">
      <c r="A4" s="24"/>
      <c r="B4" s="14" t="s">
        <v>3</v>
      </c>
      <c r="C4" s="26"/>
      <c r="D4" s="27"/>
      <c r="E4" s="27"/>
      <c r="F4" s="27"/>
      <c r="G4" s="28"/>
      <c r="H4" s="24"/>
    </row>
    <row r="5" spans="1:8" ht="15" customHeight="1" x14ac:dyDescent="0.25">
      <c r="A5" s="24"/>
      <c r="B5" s="14" t="s">
        <v>4</v>
      </c>
      <c r="C5" s="29"/>
      <c r="D5" s="30"/>
      <c r="E5" s="30"/>
      <c r="F5" s="30"/>
      <c r="G5" s="31"/>
      <c r="H5" s="24"/>
    </row>
    <row r="6" spans="1:8" ht="15.75" x14ac:dyDescent="0.25">
      <c r="A6" s="24"/>
      <c r="B6" s="14" t="s">
        <v>5</v>
      </c>
      <c r="C6" s="32"/>
      <c r="D6" s="33"/>
      <c r="E6" s="33"/>
      <c r="F6" s="33"/>
      <c r="G6" s="34"/>
      <c r="H6" s="24"/>
    </row>
    <row r="7" spans="1:8" ht="14.25" customHeight="1" x14ac:dyDescent="0.25">
      <c r="A7" s="24"/>
      <c r="B7" s="15" t="s">
        <v>6</v>
      </c>
      <c r="C7" s="15" t="s">
        <v>7</v>
      </c>
      <c r="D7" s="15" t="s">
        <v>8</v>
      </c>
      <c r="E7" s="15" t="s">
        <v>9</v>
      </c>
      <c r="F7" s="15" t="s">
        <v>10</v>
      </c>
      <c r="G7" s="15" t="s">
        <v>11</v>
      </c>
      <c r="H7" s="24"/>
    </row>
    <row r="8" spans="1:8" ht="14.25" customHeight="1" x14ac:dyDescent="0.2">
      <c r="A8" s="24"/>
      <c r="B8" s="21"/>
      <c r="C8" s="21"/>
      <c r="D8" s="21"/>
      <c r="E8" s="21"/>
      <c r="F8" s="21"/>
      <c r="G8" s="21"/>
      <c r="H8" s="24"/>
    </row>
    <row r="9" spans="1:8" ht="14.25" customHeight="1" x14ac:dyDescent="0.2">
      <c r="A9" s="24"/>
      <c r="B9" s="22"/>
      <c r="C9" s="22"/>
      <c r="D9" s="22"/>
      <c r="E9" s="22"/>
      <c r="F9" s="22"/>
      <c r="G9" s="22"/>
      <c r="H9" s="24"/>
    </row>
    <row r="10" spans="1:8" ht="14.25" customHeight="1" x14ac:dyDescent="0.2">
      <c r="A10" s="24"/>
      <c r="B10" s="21"/>
      <c r="C10" s="21"/>
      <c r="D10" s="21"/>
      <c r="E10" s="21"/>
      <c r="F10" s="21"/>
      <c r="G10" s="21"/>
      <c r="H10" s="24"/>
    </row>
    <row r="11" spans="1:8" ht="14.25" customHeight="1" x14ac:dyDescent="0.2">
      <c r="A11" s="24"/>
      <c r="B11" s="22"/>
      <c r="C11" s="22"/>
      <c r="D11" s="22"/>
      <c r="E11" s="22"/>
      <c r="F11" s="22"/>
      <c r="G11" s="22"/>
      <c r="H11" s="24"/>
    </row>
    <row r="12" spans="1:8" ht="14.25" customHeight="1" x14ac:dyDescent="0.2">
      <c r="A12" s="24"/>
      <c r="B12" s="21"/>
      <c r="C12" s="21"/>
      <c r="D12" s="21"/>
      <c r="E12" s="21"/>
      <c r="F12" s="21"/>
      <c r="G12" s="21"/>
      <c r="H12" s="24"/>
    </row>
    <row r="13" spans="1:8" ht="14.25" customHeight="1" x14ac:dyDescent="0.2">
      <c r="A13" s="24"/>
      <c r="B13" s="22"/>
      <c r="C13" s="22"/>
      <c r="D13" s="22"/>
      <c r="E13" s="22"/>
      <c r="F13" s="22"/>
      <c r="G13" s="22"/>
      <c r="H13" s="24"/>
    </row>
    <row r="14" spans="1:8" ht="14.25" customHeight="1" x14ac:dyDescent="0.2">
      <c r="A14" s="24"/>
      <c r="B14" s="21"/>
      <c r="C14" s="21"/>
      <c r="D14" s="21"/>
      <c r="E14" s="21"/>
      <c r="F14" s="21"/>
      <c r="G14" s="21"/>
      <c r="H14" s="24"/>
    </row>
    <row r="15" spans="1:8" ht="14.25" customHeight="1" x14ac:dyDescent="0.2">
      <c r="A15" s="24"/>
      <c r="B15" s="22"/>
      <c r="C15" s="22"/>
      <c r="D15" s="22"/>
      <c r="E15" s="22"/>
      <c r="F15" s="22"/>
      <c r="G15" s="22"/>
      <c r="H15" s="24"/>
    </row>
    <row r="16" spans="1:8" ht="14.25" customHeight="1" x14ac:dyDescent="0.2">
      <c r="A16" s="24"/>
      <c r="B16" s="21"/>
      <c r="C16" s="21"/>
      <c r="D16" s="21"/>
      <c r="E16" s="21"/>
      <c r="F16" s="21"/>
      <c r="G16" s="21"/>
      <c r="H16" s="24"/>
    </row>
    <row r="17" spans="1:8" ht="14.25" customHeight="1" x14ac:dyDescent="0.2">
      <c r="A17" s="24"/>
      <c r="B17" s="22"/>
      <c r="C17" s="22"/>
      <c r="D17" s="22"/>
      <c r="E17" s="22"/>
      <c r="F17" s="22"/>
      <c r="G17" s="22"/>
      <c r="H17" s="24"/>
    </row>
    <row r="18" spans="1:8" ht="14.25" customHeight="1" x14ac:dyDescent="0.2">
      <c r="A18" s="24"/>
      <c r="B18" s="21"/>
      <c r="C18" s="21"/>
      <c r="D18" s="21"/>
      <c r="E18" s="21"/>
      <c r="F18" s="21"/>
      <c r="G18" s="21"/>
      <c r="H18" s="24"/>
    </row>
    <row r="19" spans="1:8" ht="14.25" customHeight="1" x14ac:dyDescent="0.2">
      <c r="A19" s="24"/>
      <c r="B19" s="22"/>
      <c r="C19" s="22"/>
      <c r="D19" s="22"/>
      <c r="E19" s="22"/>
      <c r="F19" s="22"/>
      <c r="G19" s="22"/>
      <c r="H19" s="24"/>
    </row>
    <row r="20" spans="1:8" ht="14.25" customHeight="1" x14ac:dyDescent="0.2">
      <c r="A20" s="24"/>
      <c r="B20" s="21"/>
      <c r="C20" s="21"/>
      <c r="D20" s="21"/>
      <c r="E20" s="21"/>
      <c r="F20" s="21"/>
      <c r="G20" s="21"/>
      <c r="H20" s="24"/>
    </row>
    <row r="21" spans="1:8" ht="14.25" customHeight="1" x14ac:dyDescent="0.2">
      <c r="A21" s="24"/>
      <c r="B21" s="22"/>
      <c r="C21" s="22"/>
      <c r="D21" s="22"/>
      <c r="E21" s="22"/>
      <c r="F21" s="22"/>
      <c r="G21" s="22"/>
      <c r="H21" s="24"/>
    </row>
    <row r="22" spans="1:8" ht="14.25" customHeight="1" x14ac:dyDescent="0.2">
      <c r="A22" s="24"/>
      <c r="B22" s="21"/>
      <c r="C22" s="21"/>
      <c r="D22" s="21"/>
      <c r="E22" s="21"/>
      <c r="F22" s="21"/>
      <c r="G22" s="21"/>
      <c r="H22" s="24"/>
    </row>
    <row r="23" spans="1:8" ht="14.25" customHeight="1" x14ac:dyDescent="0.2">
      <c r="A23" s="24"/>
      <c r="B23" s="22"/>
      <c r="C23" s="22"/>
      <c r="D23" s="22"/>
      <c r="E23" s="22"/>
      <c r="F23" s="22"/>
      <c r="G23" s="22"/>
      <c r="H23" s="24"/>
    </row>
    <row r="24" spans="1:8" ht="14.25" customHeight="1" x14ac:dyDescent="0.2">
      <c r="A24" s="24"/>
      <c r="B24" s="21"/>
      <c r="C24" s="21"/>
      <c r="D24" s="21"/>
      <c r="E24" s="21"/>
      <c r="F24" s="21"/>
      <c r="G24" s="21"/>
      <c r="H24" s="24"/>
    </row>
    <row r="25" spans="1:8" ht="14.25" customHeight="1" x14ac:dyDescent="0.2">
      <c r="A25" s="24"/>
      <c r="B25" s="22"/>
      <c r="C25" s="22"/>
      <c r="D25" s="22"/>
      <c r="E25" s="22"/>
      <c r="F25" s="22"/>
      <c r="G25" s="22"/>
      <c r="H25" s="24"/>
    </row>
    <row r="26" spans="1:8" ht="14.25" customHeight="1" x14ac:dyDescent="0.2">
      <c r="A26" s="24"/>
      <c r="B26" s="21"/>
      <c r="C26" s="21"/>
      <c r="D26" s="21"/>
      <c r="E26" s="21"/>
      <c r="F26" s="21"/>
      <c r="G26" s="21"/>
      <c r="H26" s="24"/>
    </row>
    <row r="27" spans="1:8" ht="14.25" customHeight="1" x14ac:dyDescent="0.2">
      <c r="A27" s="24"/>
      <c r="B27" s="22"/>
      <c r="C27" s="22"/>
      <c r="D27" s="22"/>
      <c r="E27" s="22"/>
      <c r="F27" s="22"/>
      <c r="G27" s="22"/>
      <c r="H27" s="24"/>
    </row>
    <row r="28" spans="1:8" ht="14.25" customHeight="1" x14ac:dyDescent="0.2">
      <c r="A28" s="24"/>
      <c r="B28" s="21"/>
      <c r="C28" s="21"/>
      <c r="D28" s="21"/>
      <c r="E28" s="21"/>
      <c r="F28" s="21"/>
      <c r="G28" s="21"/>
      <c r="H28" s="24"/>
    </row>
    <row r="29" spans="1:8" ht="14.25" customHeight="1" x14ac:dyDescent="0.2">
      <c r="A29" s="24"/>
      <c r="B29" s="22"/>
      <c r="C29" s="22"/>
      <c r="D29" s="22"/>
      <c r="E29" s="22"/>
      <c r="F29" s="22"/>
      <c r="G29" s="22"/>
      <c r="H29" s="24"/>
    </row>
    <row r="30" spans="1:8" ht="14.25" customHeight="1" x14ac:dyDescent="0.2">
      <c r="A30" s="24"/>
      <c r="B30" s="21"/>
      <c r="C30" s="21"/>
      <c r="D30" s="21"/>
      <c r="E30" s="21"/>
      <c r="F30" s="21"/>
      <c r="G30" s="21"/>
      <c r="H30" s="24"/>
    </row>
    <row r="31" spans="1:8" ht="14.25" customHeight="1" x14ac:dyDescent="0.2">
      <c r="A31" s="24"/>
      <c r="B31" s="22"/>
      <c r="C31" s="22"/>
      <c r="D31" s="22"/>
      <c r="E31" s="22"/>
      <c r="F31" s="22"/>
      <c r="G31" s="22"/>
      <c r="H31" s="24"/>
    </row>
    <row r="32" spans="1:8" ht="14.25" customHeight="1" x14ac:dyDescent="0.2">
      <c r="A32" s="24"/>
      <c r="B32" s="21"/>
      <c r="C32" s="21"/>
      <c r="D32" s="21"/>
      <c r="E32" s="21"/>
      <c r="F32" s="21"/>
      <c r="G32" s="21"/>
      <c r="H32" s="24"/>
    </row>
    <row r="33" spans="1:8" ht="14.25" customHeight="1" x14ac:dyDescent="0.2">
      <c r="A33" s="24"/>
      <c r="B33" s="22"/>
      <c r="C33" s="22"/>
      <c r="D33" s="22"/>
      <c r="E33" s="22"/>
      <c r="F33" s="22"/>
      <c r="G33" s="22"/>
      <c r="H33" s="24"/>
    </row>
    <row r="34" spans="1:8" ht="14.25" customHeight="1" x14ac:dyDescent="0.2">
      <c r="A34" s="24"/>
      <c r="B34" s="21"/>
      <c r="C34" s="21"/>
      <c r="D34" s="21"/>
      <c r="E34" s="21"/>
      <c r="F34" s="21"/>
      <c r="G34" s="21"/>
      <c r="H34" s="24"/>
    </row>
    <row r="35" spans="1:8" ht="14.25" customHeight="1" x14ac:dyDescent="0.2">
      <c r="A35" s="24"/>
      <c r="B35" s="22"/>
      <c r="C35" s="22"/>
      <c r="D35" s="22"/>
      <c r="E35" s="22"/>
      <c r="F35" s="22"/>
      <c r="G35" s="22"/>
      <c r="H35" s="24"/>
    </row>
    <row r="36" spans="1:8" ht="14.25" customHeight="1" x14ac:dyDescent="0.2">
      <c r="A36" s="24"/>
      <c r="B36" s="21"/>
      <c r="C36" s="21"/>
      <c r="D36" s="21"/>
      <c r="E36" s="21"/>
      <c r="F36" s="21"/>
      <c r="G36" s="21"/>
      <c r="H36" s="24"/>
    </row>
    <row r="37" spans="1:8" ht="14.25" customHeight="1" x14ac:dyDescent="0.2">
      <c r="A37" s="24"/>
      <c r="H37" s="24"/>
    </row>
    <row r="38" spans="1:8" ht="14.25" customHeight="1" x14ac:dyDescent="0.2">
      <c r="A38" s="24"/>
      <c r="H38" s="24"/>
    </row>
    <row r="39" spans="1:8" ht="14.25" customHeight="1" x14ac:dyDescent="0.2">
      <c r="A39" s="24"/>
      <c r="H39" s="24"/>
    </row>
    <row r="40" spans="1:8" ht="14.25" customHeight="1" x14ac:dyDescent="0.2">
      <c r="A40" s="24"/>
      <c r="H40" s="24"/>
    </row>
    <row r="41" spans="1:8" ht="14.25" customHeight="1" x14ac:dyDescent="0.2">
      <c r="A41" s="24"/>
      <c r="H41" s="24"/>
    </row>
    <row r="42" spans="1:8" ht="14.25" customHeight="1" x14ac:dyDescent="0.2">
      <c r="A42" s="24"/>
      <c r="H42" s="24"/>
    </row>
    <row r="43" spans="1:8" ht="14.25" customHeight="1" x14ac:dyDescent="0.2">
      <c r="A43" s="24"/>
      <c r="H43" s="24"/>
    </row>
    <row r="44" spans="1:8" ht="14.25" customHeight="1" x14ac:dyDescent="0.2">
      <c r="A44" s="24"/>
      <c r="H44" s="24"/>
    </row>
    <row r="45" spans="1:8" ht="14.25" customHeight="1" x14ac:dyDescent="0.2">
      <c r="A45" s="24"/>
      <c r="H45" s="24"/>
    </row>
    <row r="46" spans="1:8" ht="14.25" customHeight="1" x14ac:dyDescent="0.2">
      <c r="A46" s="24"/>
      <c r="H46" s="24"/>
    </row>
    <row r="47" spans="1:8" ht="14.25" customHeight="1" x14ac:dyDescent="0.2">
      <c r="A47" s="24"/>
      <c r="H47" s="24"/>
    </row>
    <row r="48" spans="1:8" ht="15" customHeight="1" x14ac:dyDescent="0.2">
      <c r="A48" s="24"/>
      <c r="H48" s="24"/>
    </row>
    <row r="49" spans="1:8" ht="14.25" customHeight="1" x14ac:dyDescent="0.2">
      <c r="A49" s="24"/>
      <c r="H49" s="24"/>
    </row>
    <row r="50" spans="1:8" x14ac:dyDescent="0.2">
      <c r="A50" s="24"/>
      <c r="H50" s="24"/>
    </row>
    <row r="51" spans="1:8" x14ac:dyDescent="0.2">
      <c r="A51" s="20"/>
      <c r="H51" s="20"/>
    </row>
  </sheetData>
  <mergeCells count="8">
    <mergeCell ref="A1:A50"/>
    <mergeCell ref="H1:H50"/>
    <mergeCell ref="B1:G1"/>
    <mergeCell ref="C2:G2"/>
    <mergeCell ref="C3:G3"/>
    <mergeCell ref="C4:G4"/>
    <mergeCell ref="C5:G5"/>
    <mergeCell ref="C6:G6"/>
  </mergeCells>
  <conditionalFormatting sqref="B37:G51">
    <cfRule type="duplicateValues" dxfId="7" priority="23"/>
  </conditionalFormatting>
  <conditionalFormatting sqref="C2:G6">
    <cfRule type="notContainsBlanks" dxfId="6" priority="21">
      <formula>LEN(TRIM(C2))&gt;0</formula>
    </cfRule>
  </conditionalFormatting>
  <conditionalFormatting sqref="B52:G1048576">
    <cfRule type="notContainsBlanks" dxfId="5" priority="20">
      <formula>LEN(TRIM(B52))&gt;0</formula>
    </cfRule>
  </conditionalFormatting>
  <conditionalFormatting sqref="C18:C36">
    <cfRule type="duplicateValues" dxfId="4" priority="11" stopIfTrue="1"/>
  </conditionalFormatting>
  <conditionalFormatting sqref="C15:C17">
    <cfRule type="duplicateValues" dxfId="3" priority="6" stopIfTrue="1"/>
  </conditionalFormatting>
  <conditionalFormatting sqref="C13:C14">
    <cfRule type="duplicateValues" dxfId="2" priority="2" stopIfTrue="1"/>
  </conditionalFormatting>
  <conditionalFormatting sqref="C8:C12">
    <cfRule type="duplicateValues" dxfId="1" priority="1" stopIfTrue="1"/>
  </conditionalFormatting>
  <pageMargins left="0.511811024" right="0.511811024" top="0.78740157499999996" bottom="0.78740157499999996" header="0.31496062000000002" footer="0.31496062000000002"/>
  <pageSetup paperSize="9" orientation="portrait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  <pageSetUpPr fitToPage="1"/>
  </sheetPr>
  <dimension ref="A1:M49"/>
  <sheetViews>
    <sheetView showGridLines="0" view="pageBreakPreview" zoomScaleNormal="70" zoomScaleSheetLayoutView="100" workbookViewId="0">
      <selection activeCell="H4" sqref="H4"/>
    </sheetView>
  </sheetViews>
  <sheetFormatPr defaultColWidth="9" defaultRowHeight="24.95" customHeight="1" x14ac:dyDescent="0.2"/>
  <cols>
    <col min="1" max="1" width="3.5703125" customWidth="1"/>
    <col min="2" max="2" width="24.28515625" style="1" customWidth="1"/>
    <col min="3" max="3" width="15" style="1" customWidth="1"/>
    <col min="4" max="5" width="13.7109375" style="1" customWidth="1"/>
    <col min="6" max="6" width="19.140625" style="1" customWidth="1"/>
    <col min="7" max="7" width="10.7109375" style="1" customWidth="1"/>
    <col min="8" max="8" width="15.5703125" style="1" customWidth="1"/>
    <col min="9" max="9" width="18" style="1" customWidth="1"/>
    <col min="10" max="10" width="13.140625" style="1" customWidth="1"/>
    <col min="11" max="11" width="15.28515625" style="1" customWidth="1"/>
    <col min="12" max="12" width="19.140625" style="1" customWidth="1"/>
    <col min="13" max="13" width="4.5703125" style="1" customWidth="1"/>
    <col min="14" max="16384" width="9" style="1"/>
  </cols>
  <sheetData>
    <row r="1" spans="2:13" s="2" customFormat="1" ht="55.9" customHeight="1" x14ac:dyDescent="0.2">
      <c r="B1" s="3"/>
      <c r="C1" s="35" t="s">
        <v>12</v>
      </c>
      <c r="D1" s="35"/>
      <c r="E1" s="35"/>
      <c r="F1" s="35"/>
      <c r="G1" s="35"/>
      <c r="H1" s="35"/>
      <c r="I1" s="35"/>
      <c r="J1" s="35"/>
      <c r="K1" s="35"/>
      <c r="L1" s="36"/>
      <c r="M1" s="4"/>
    </row>
    <row r="2" spans="2:13" s="1" customFormat="1" ht="25.5" customHeight="1" x14ac:dyDescent="0.2">
      <c r="B2" s="38" t="str">
        <f>CONCATENATE("Código: ", PREENCHER!B8)</f>
        <v xml:space="preserve">Código: </v>
      </c>
      <c r="C2" s="38"/>
      <c r="D2" s="38"/>
      <c r="E2" s="39" t="str">
        <f>CONCATENATE("OP: ", PREENCHER!C3)</f>
        <v xml:space="preserve">OP: </v>
      </c>
      <c r="F2" s="39"/>
      <c r="G2" s="39"/>
      <c r="H2" s="5" t="str">
        <f>CONCATENATE("Quant.: ", PREENCHER!C4)</f>
        <v xml:space="preserve">Quant.: </v>
      </c>
      <c r="I2" s="39" t="str">
        <f>CONCATENATE("Cliente: ",PREENCHER!C2)</f>
        <v xml:space="preserve">Cliente: </v>
      </c>
      <c r="J2" s="39"/>
      <c r="K2" s="6"/>
      <c r="L2" s="6"/>
      <c r="M2" s="6"/>
    </row>
    <row r="3" spans="2:13" s="1" customFormat="1" ht="25.5" customHeight="1" x14ac:dyDescent="0.2">
      <c r="B3" s="7"/>
      <c r="C3" s="40" t="s">
        <v>13</v>
      </c>
      <c r="D3" s="40"/>
      <c r="E3" s="40"/>
      <c r="F3" s="40"/>
      <c r="G3" s="41" t="s">
        <v>14</v>
      </c>
      <c r="H3" s="42"/>
      <c r="I3" s="42"/>
      <c r="J3" s="47" t="s">
        <v>15</v>
      </c>
      <c r="K3" s="48"/>
      <c r="L3" s="49"/>
      <c r="M3" s="6"/>
    </row>
    <row r="4" spans="2:13" s="1" customFormat="1" ht="32.25" customHeight="1" x14ac:dyDescent="0.2">
      <c r="B4" s="7" t="s">
        <v>16</v>
      </c>
      <c r="C4" s="8" t="s">
        <v>17</v>
      </c>
      <c r="D4" s="8" t="s">
        <v>18</v>
      </c>
      <c r="E4" s="43" t="s">
        <v>19</v>
      </c>
      <c r="F4" s="44"/>
      <c r="G4" s="7" t="s">
        <v>20</v>
      </c>
      <c r="H4" s="7" t="s">
        <v>21</v>
      </c>
      <c r="I4" s="7" t="s">
        <v>22</v>
      </c>
      <c r="J4" s="7" t="s">
        <v>20</v>
      </c>
      <c r="K4" s="7" t="s">
        <v>21</v>
      </c>
      <c r="L4" s="7" t="s">
        <v>23</v>
      </c>
      <c r="M4" s="6"/>
    </row>
    <row r="5" spans="2:13" s="1" customFormat="1" ht="25.5" customHeight="1" x14ac:dyDescent="0.2">
      <c r="B5" s="10" t="str">
        <f>TRIM(IF(PREENCHER!$C8=0,"",PREENCHER!$C8))</f>
        <v/>
      </c>
      <c r="C5" s="11" t="str">
        <f>IFERROR(LEFT(PREENCHER!$D8,(SEARCH(" ",PREENCHER!$D8,1)-1)),"")</f>
        <v/>
      </c>
      <c r="D5" s="11">
        <f>PREENCHER!$G8</f>
        <v>0</v>
      </c>
      <c r="E5" s="45"/>
      <c r="F5" s="46"/>
      <c r="G5" s="12" t="str">
        <f>IF(B5&lt;&gt;"",PREENCHER!$C$5,"/")</f>
        <v>/</v>
      </c>
      <c r="H5" s="13" t="str">
        <f>IF(B5&lt;&gt;"",PREENCHER!$C$6,":")</f>
        <v>:</v>
      </c>
      <c r="I5" s="9"/>
      <c r="J5" s="9"/>
      <c r="K5" s="9" t="s">
        <v>24</v>
      </c>
      <c r="L5" s="9"/>
      <c r="M5" s="6"/>
    </row>
    <row r="6" spans="2:13" s="1" customFormat="1" ht="25.5" customHeight="1" x14ac:dyDescent="0.2">
      <c r="B6" s="10" t="str">
        <f>TRIM(IF(PREENCHER!$C9=0,"",PREENCHER!$C9))</f>
        <v/>
      </c>
      <c r="C6" s="11" t="str">
        <f>IFERROR(LEFT(PREENCHER!$D9,(SEARCH(" ",PREENCHER!$D9,1)-1)),"")</f>
        <v/>
      </c>
      <c r="D6" s="11">
        <f>PREENCHER!$G9</f>
        <v>0</v>
      </c>
      <c r="E6" s="45"/>
      <c r="F6" s="46"/>
      <c r="G6" s="12" t="str">
        <f>IF(B6&lt;&gt;"",PREENCHER!$C$5,"/")</f>
        <v>/</v>
      </c>
      <c r="H6" s="13" t="str">
        <f>IF(B6&lt;&gt;"",PREENCHER!$C$6,":")</f>
        <v>:</v>
      </c>
      <c r="I6" s="9"/>
      <c r="J6" s="9"/>
      <c r="K6" s="9" t="s">
        <v>24</v>
      </c>
      <c r="L6" s="9"/>
      <c r="M6" s="6"/>
    </row>
    <row r="7" spans="2:13" s="1" customFormat="1" ht="25.5" customHeight="1" x14ac:dyDescent="0.2">
      <c r="B7" s="10" t="str">
        <f>TRIM(IF(PREENCHER!$C10=0,"",PREENCHER!$C10))</f>
        <v/>
      </c>
      <c r="C7" s="11" t="str">
        <f>IFERROR(LEFT(PREENCHER!$D10,(SEARCH(" ",PREENCHER!$D10,1)-1)),"")</f>
        <v/>
      </c>
      <c r="D7" s="11">
        <f>PREENCHER!$G10</f>
        <v>0</v>
      </c>
      <c r="E7" s="45"/>
      <c r="F7" s="46"/>
      <c r="G7" s="12" t="str">
        <f>IF(B7&lt;&gt;"",PREENCHER!$C$5,"/")</f>
        <v>/</v>
      </c>
      <c r="H7" s="13" t="str">
        <f>IF(B7&lt;&gt;"",PREENCHER!$C$6,":")</f>
        <v>:</v>
      </c>
      <c r="I7" s="9"/>
      <c r="J7" s="9"/>
      <c r="K7" s="9" t="s">
        <v>24</v>
      </c>
      <c r="L7" s="9"/>
      <c r="M7" s="6"/>
    </row>
    <row r="8" spans="2:13" s="1" customFormat="1" ht="25.5" customHeight="1" x14ac:dyDescent="0.2">
      <c r="B8" s="10" t="str">
        <f>TRIM(IF(PREENCHER!$C11=0,"",PREENCHER!$C11))</f>
        <v/>
      </c>
      <c r="C8" s="11" t="str">
        <f>IFERROR(LEFT(PREENCHER!$D11,(SEARCH(" ",PREENCHER!$D11,1)-1)),"")</f>
        <v/>
      </c>
      <c r="D8" s="11">
        <f>PREENCHER!$G11</f>
        <v>0</v>
      </c>
      <c r="E8" s="45"/>
      <c r="F8" s="46"/>
      <c r="G8" s="12" t="str">
        <f>IF(B8&lt;&gt;"",PREENCHER!$C$5,"/")</f>
        <v>/</v>
      </c>
      <c r="H8" s="13" t="str">
        <f>IF(B8&lt;&gt;"",PREENCHER!$C$6,":")</f>
        <v>:</v>
      </c>
      <c r="I8" s="9"/>
      <c r="J8" s="9"/>
      <c r="K8" s="9" t="s">
        <v>24</v>
      </c>
      <c r="L8" s="9"/>
      <c r="M8" s="6"/>
    </row>
    <row r="9" spans="2:13" s="1" customFormat="1" ht="25.5" customHeight="1" x14ac:dyDescent="0.2">
      <c r="B9" s="10" t="str">
        <f>TRIM(IF(PREENCHER!$C12=0,"",PREENCHER!$C12))</f>
        <v/>
      </c>
      <c r="C9" s="11" t="str">
        <f>IFERROR(LEFT(PREENCHER!$D12,(SEARCH(" ",PREENCHER!$D12,1)-1)),"")</f>
        <v/>
      </c>
      <c r="D9" s="11">
        <f>PREENCHER!$G12</f>
        <v>0</v>
      </c>
      <c r="E9" s="45"/>
      <c r="F9" s="46"/>
      <c r="G9" s="12" t="str">
        <f>IF(B9&lt;&gt;"",PREENCHER!$C$5,"/")</f>
        <v>/</v>
      </c>
      <c r="H9" s="13" t="str">
        <f>IF(B9&lt;&gt;"",PREENCHER!$C$6,":")</f>
        <v>:</v>
      </c>
      <c r="I9" s="9"/>
      <c r="J9" s="9"/>
      <c r="K9" s="9" t="s">
        <v>24</v>
      </c>
      <c r="L9" s="9"/>
      <c r="M9" s="6"/>
    </row>
    <row r="10" spans="2:13" s="1" customFormat="1" ht="25.5" customHeight="1" x14ac:dyDescent="0.2">
      <c r="B10" s="10" t="str">
        <f>TRIM(IF(PREENCHER!$C13=0,"",PREENCHER!$C13))</f>
        <v/>
      </c>
      <c r="C10" s="11" t="str">
        <f>IFERROR(LEFT(PREENCHER!$D13,(SEARCH(" ",PREENCHER!$D13,1)-1)),"")</f>
        <v/>
      </c>
      <c r="D10" s="11">
        <f>PREENCHER!$G13</f>
        <v>0</v>
      </c>
      <c r="E10" s="45"/>
      <c r="F10" s="46"/>
      <c r="G10" s="12" t="str">
        <f>IF(B10&lt;&gt;"",PREENCHER!$C$5,"/")</f>
        <v>/</v>
      </c>
      <c r="H10" s="13" t="str">
        <f>IF(B10&lt;&gt;"",PREENCHER!$C$6,":")</f>
        <v>:</v>
      </c>
      <c r="I10" s="9"/>
      <c r="J10" s="9"/>
      <c r="K10" s="9" t="s">
        <v>24</v>
      </c>
      <c r="L10" s="9"/>
      <c r="M10" s="6"/>
    </row>
    <row r="11" spans="2:13" s="1" customFormat="1" ht="25.5" customHeight="1" x14ac:dyDescent="0.2">
      <c r="B11" s="10" t="str">
        <f>TRIM(IF(PREENCHER!$C14=0,"",PREENCHER!$C14))</f>
        <v/>
      </c>
      <c r="C11" s="11" t="str">
        <f>IFERROR(LEFT(PREENCHER!$D14,(SEARCH(" ",PREENCHER!$D14,1)-1)),"")</f>
        <v/>
      </c>
      <c r="D11" s="11">
        <f>PREENCHER!$G14</f>
        <v>0</v>
      </c>
      <c r="E11" s="45"/>
      <c r="F11" s="46"/>
      <c r="G11" s="12" t="str">
        <f>IF(B11&lt;&gt;"",PREENCHER!$C$5,"/")</f>
        <v>/</v>
      </c>
      <c r="H11" s="13" t="str">
        <f>IF(B11&lt;&gt;"",PREENCHER!$C$6,":")</f>
        <v>:</v>
      </c>
      <c r="I11" s="9"/>
      <c r="J11" s="9"/>
      <c r="K11" s="9" t="s">
        <v>24</v>
      </c>
      <c r="L11" s="9"/>
      <c r="M11" s="6"/>
    </row>
    <row r="12" spans="2:13" s="1" customFormat="1" ht="25.5" customHeight="1" x14ac:dyDescent="0.2">
      <c r="B12" s="10" t="str">
        <f>TRIM(IF(PREENCHER!$C15=0,"",PREENCHER!$C15))</f>
        <v/>
      </c>
      <c r="C12" s="11" t="str">
        <f>IFERROR(LEFT(PREENCHER!$D15,(SEARCH(" ",PREENCHER!$D15,1)-1)),"")</f>
        <v/>
      </c>
      <c r="D12" s="11">
        <f>PREENCHER!$G15</f>
        <v>0</v>
      </c>
      <c r="E12" s="45"/>
      <c r="F12" s="46"/>
      <c r="G12" s="12" t="str">
        <f>IF(B12&lt;&gt;"",PREENCHER!$C$5,"/")</f>
        <v>/</v>
      </c>
      <c r="H12" s="13" t="str">
        <f>IF(B12&lt;&gt;"",PREENCHER!$C$6,":")</f>
        <v>:</v>
      </c>
      <c r="I12" s="9"/>
      <c r="J12" s="9"/>
      <c r="K12" s="9" t="s">
        <v>24</v>
      </c>
      <c r="L12" s="9"/>
      <c r="M12" s="6"/>
    </row>
    <row r="13" spans="2:13" s="1" customFormat="1" ht="25.5" customHeight="1" x14ac:dyDescent="0.2">
      <c r="B13" s="10" t="str">
        <f>TRIM(IF(PREENCHER!$C16=0,"",PREENCHER!$C16))</f>
        <v/>
      </c>
      <c r="C13" s="11" t="str">
        <f>IFERROR(LEFT(PREENCHER!$D16,(SEARCH(" ",PREENCHER!$D16,1)-1)),"")</f>
        <v/>
      </c>
      <c r="D13" s="11">
        <f>PREENCHER!$G16</f>
        <v>0</v>
      </c>
      <c r="E13" s="45"/>
      <c r="F13" s="46"/>
      <c r="G13" s="12" t="str">
        <f>IF(B13&lt;&gt;"",PREENCHER!$C$5,"/")</f>
        <v>/</v>
      </c>
      <c r="H13" s="13" t="str">
        <f>IF(B13&lt;&gt;"",PREENCHER!$C$6,":")</f>
        <v>:</v>
      </c>
      <c r="I13" s="9"/>
      <c r="J13" s="9"/>
      <c r="K13" s="9" t="s">
        <v>24</v>
      </c>
      <c r="L13" s="9"/>
      <c r="M13" s="6"/>
    </row>
    <row r="14" spans="2:13" s="1" customFormat="1" ht="25.5" customHeight="1" x14ac:dyDescent="0.2">
      <c r="B14" s="10" t="str">
        <f>TRIM(IF(PREENCHER!$C17=0,"",PREENCHER!$C17))</f>
        <v/>
      </c>
      <c r="C14" s="11" t="str">
        <f>IFERROR(LEFT(PREENCHER!$D17,(SEARCH(" ",PREENCHER!$D17,1)-1)),"")</f>
        <v/>
      </c>
      <c r="D14" s="11">
        <f>PREENCHER!$G17</f>
        <v>0</v>
      </c>
      <c r="E14" s="45"/>
      <c r="F14" s="46"/>
      <c r="G14" s="12" t="str">
        <f>IF(B14&lt;&gt;"",PREENCHER!$C$5,"/")</f>
        <v>/</v>
      </c>
      <c r="H14" s="13" t="str">
        <f>IF(B14&lt;&gt;"",PREENCHER!$C$6,":")</f>
        <v>:</v>
      </c>
      <c r="I14" s="9"/>
      <c r="J14" s="9"/>
      <c r="K14" s="9" t="s">
        <v>24</v>
      </c>
      <c r="L14" s="9"/>
      <c r="M14" s="6"/>
    </row>
    <row r="15" spans="2:13" s="1" customFormat="1" ht="25.5" customHeight="1" x14ac:dyDescent="0.2">
      <c r="B15" s="10" t="str">
        <f>TRIM(IF(PREENCHER!$C18=0,"",PREENCHER!$C18))</f>
        <v/>
      </c>
      <c r="C15" s="11" t="str">
        <f>IFERROR(LEFT(PREENCHER!$D18,(SEARCH(" ",PREENCHER!$D18,1)-1)),"")</f>
        <v/>
      </c>
      <c r="D15" s="11">
        <f>PREENCHER!$G18</f>
        <v>0</v>
      </c>
      <c r="E15" s="45"/>
      <c r="F15" s="46"/>
      <c r="G15" s="12" t="str">
        <f>IF(B15&lt;&gt;"",PREENCHER!$C$5,"/")</f>
        <v>/</v>
      </c>
      <c r="H15" s="13" t="str">
        <f>IF(B15&lt;&gt;"",PREENCHER!$C$6,":")</f>
        <v>:</v>
      </c>
      <c r="I15" s="9"/>
      <c r="J15" s="9"/>
      <c r="K15" s="9" t="s">
        <v>24</v>
      </c>
      <c r="L15" s="9"/>
      <c r="M15" s="6"/>
    </row>
    <row r="16" spans="2:13" s="1" customFormat="1" ht="25.5" customHeight="1" x14ac:dyDescent="0.2">
      <c r="B16" s="10" t="str">
        <f>TRIM(IF(PREENCHER!$C19=0,"",PREENCHER!$C19))</f>
        <v/>
      </c>
      <c r="C16" s="11" t="str">
        <f>IFERROR(LEFT(PREENCHER!$D19,(SEARCH(" ",PREENCHER!$D19,1)-1)),"")</f>
        <v/>
      </c>
      <c r="D16" s="11">
        <f>PREENCHER!$G19</f>
        <v>0</v>
      </c>
      <c r="E16" s="45"/>
      <c r="F16" s="46"/>
      <c r="G16" s="12" t="str">
        <f>IF(B16&lt;&gt;"",PREENCHER!$C$5,"/")</f>
        <v>/</v>
      </c>
      <c r="H16" s="13" t="str">
        <f>IF(B16&lt;&gt;"",PREENCHER!$C$6,":")</f>
        <v>:</v>
      </c>
      <c r="I16" s="9"/>
      <c r="J16" s="9"/>
      <c r="K16" s="9" t="s">
        <v>24</v>
      </c>
      <c r="L16" s="9"/>
      <c r="M16" s="6"/>
    </row>
    <row r="17" spans="2:13" s="1" customFormat="1" ht="25.5" customHeight="1" x14ac:dyDescent="0.2">
      <c r="B17" s="10" t="str">
        <f>TRIM(IF(PREENCHER!$C20=0,"",PREENCHER!$C20))</f>
        <v/>
      </c>
      <c r="C17" s="11" t="str">
        <f>IFERROR(LEFT(PREENCHER!$D20,(SEARCH(" ",PREENCHER!$D20,1)-1)),"")</f>
        <v/>
      </c>
      <c r="D17" s="11">
        <f>PREENCHER!$G20</f>
        <v>0</v>
      </c>
      <c r="E17" s="45"/>
      <c r="F17" s="46"/>
      <c r="G17" s="12" t="str">
        <f>IF(B17&lt;&gt;"",PREENCHER!$C$5,"/")</f>
        <v>/</v>
      </c>
      <c r="H17" s="13" t="str">
        <f>IF(B17&lt;&gt;"",PREENCHER!$C$6,":")</f>
        <v>:</v>
      </c>
      <c r="I17" s="9"/>
      <c r="J17" s="9"/>
      <c r="K17" s="9" t="s">
        <v>24</v>
      </c>
      <c r="L17" s="9"/>
      <c r="M17" s="6"/>
    </row>
    <row r="18" spans="2:13" s="1" customFormat="1" ht="25.5" customHeight="1" x14ac:dyDescent="0.2">
      <c r="B18" s="10" t="str">
        <f>TRIM(IF(PREENCHER!$C21=0,"",PREENCHER!$C21))</f>
        <v/>
      </c>
      <c r="C18" s="11" t="str">
        <f>IFERROR(LEFT(PREENCHER!$D21,(SEARCH(" ",PREENCHER!$D21,1)-1)),"")</f>
        <v/>
      </c>
      <c r="D18" s="11">
        <f>PREENCHER!$G21</f>
        <v>0</v>
      </c>
      <c r="E18" s="45"/>
      <c r="F18" s="46"/>
      <c r="G18" s="12" t="str">
        <f>IF(B18&lt;&gt;"",PREENCHER!$C$5,"/")</f>
        <v>/</v>
      </c>
      <c r="H18" s="13" t="str">
        <f>IF(B18&lt;&gt;"",PREENCHER!$C$6,":")</f>
        <v>:</v>
      </c>
      <c r="I18" s="9"/>
      <c r="J18" s="9"/>
      <c r="K18" s="9" t="s">
        <v>24</v>
      </c>
      <c r="L18" s="9"/>
      <c r="M18" s="6"/>
    </row>
    <row r="19" spans="2:13" s="1" customFormat="1" ht="25.5" customHeight="1" x14ac:dyDescent="0.2">
      <c r="B19" s="10" t="str">
        <f>TRIM(IF(PREENCHER!$C22=0,"",PREENCHER!$C22))</f>
        <v/>
      </c>
      <c r="C19" s="11" t="str">
        <f>IFERROR(LEFT(PREENCHER!$D22,(SEARCH(" ",PREENCHER!$D22,1)-1)),"")</f>
        <v/>
      </c>
      <c r="D19" s="11">
        <f>PREENCHER!$G22</f>
        <v>0</v>
      </c>
      <c r="E19" s="45"/>
      <c r="F19" s="46"/>
      <c r="G19" s="12" t="str">
        <f>IF(B19&lt;&gt;"",PREENCHER!$C$5,"/")</f>
        <v>/</v>
      </c>
      <c r="H19" s="13" t="str">
        <f>IF(B19&lt;&gt;"",PREENCHER!$C$6,":")</f>
        <v>:</v>
      </c>
      <c r="I19" s="9"/>
      <c r="J19" s="9"/>
      <c r="K19" s="9" t="s">
        <v>24</v>
      </c>
      <c r="L19" s="9"/>
      <c r="M19" s="6"/>
    </row>
    <row r="20" spans="2:13" s="1" customFormat="1" ht="25.5" customHeight="1" x14ac:dyDescent="0.2">
      <c r="B20" s="10" t="str">
        <f>TRIM(IF(PREENCHER!$C23=0,"",PREENCHER!$C23))</f>
        <v/>
      </c>
      <c r="C20" s="11" t="str">
        <f>IFERROR(LEFT(PREENCHER!$D23,(SEARCH(" ",PREENCHER!$D23,1)-1)),"")</f>
        <v/>
      </c>
      <c r="D20" s="11">
        <f>PREENCHER!$G23</f>
        <v>0</v>
      </c>
      <c r="E20" s="45"/>
      <c r="F20" s="46"/>
      <c r="G20" s="12" t="str">
        <f>IF(B20&lt;&gt;"",PREENCHER!$C$5,"/")</f>
        <v>/</v>
      </c>
      <c r="H20" s="13" t="str">
        <f>IF(B20&lt;&gt;"",PREENCHER!$C$6,":")</f>
        <v>:</v>
      </c>
      <c r="I20" s="9"/>
      <c r="J20" s="9"/>
      <c r="K20" s="9" t="s">
        <v>24</v>
      </c>
      <c r="L20" s="9"/>
      <c r="M20" s="6"/>
    </row>
    <row r="21" spans="2:13" s="1" customFormat="1" ht="25.5" customHeight="1" x14ac:dyDescent="0.2">
      <c r="B21" s="10" t="str">
        <f>TRIM(IF(PREENCHER!$C24=0,"",PREENCHER!$C24))</f>
        <v/>
      </c>
      <c r="C21" s="11" t="str">
        <f>IFERROR(LEFT(PREENCHER!$D24,(SEARCH(" ",PREENCHER!$D24,1)-1)),"")</f>
        <v/>
      </c>
      <c r="D21" s="11">
        <f>PREENCHER!$G24</f>
        <v>0</v>
      </c>
      <c r="E21" s="45"/>
      <c r="F21" s="46"/>
      <c r="G21" s="12" t="str">
        <f>IF(B21&lt;&gt;"",PREENCHER!$C$5,"/")</f>
        <v>/</v>
      </c>
      <c r="H21" s="13" t="str">
        <f>IF(B21&lt;&gt;"",PREENCHER!$C$6,":")</f>
        <v>:</v>
      </c>
      <c r="I21" s="9"/>
      <c r="J21" s="9"/>
      <c r="K21" s="9" t="s">
        <v>24</v>
      </c>
      <c r="L21" s="9"/>
      <c r="M21" s="6"/>
    </row>
    <row r="22" spans="2:13" s="1" customFormat="1" ht="25.5" customHeight="1" x14ac:dyDescent="0.2">
      <c r="B22" s="10" t="str">
        <f>TRIM(IF(PREENCHER!$C25=0,"",PREENCHER!$C25))</f>
        <v/>
      </c>
      <c r="C22" s="11" t="str">
        <f>IFERROR(LEFT(PREENCHER!$D25,(SEARCH(" ",PREENCHER!$D25,1)-1)),"")</f>
        <v/>
      </c>
      <c r="D22" s="11">
        <f>PREENCHER!$G25</f>
        <v>0</v>
      </c>
      <c r="E22" s="45"/>
      <c r="F22" s="46"/>
      <c r="G22" s="12" t="str">
        <f>IF(B22&lt;&gt;"",PREENCHER!$C$5,"/")</f>
        <v>/</v>
      </c>
      <c r="H22" s="13" t="str">
        <f>IF(B22&lt;&gt;"",PREENCHER!$C$6,":")</f>
        <v>:</v>
      </c>
      <c r="I22" s="9"/>
      <c r="J22" s="9"/>
      <c r="K22" s="9" t="s">
        <v>24</v>
      </c>
      <c r="L22" s="9"/>
      <c r="M22" s="6"/>
    </row>
    <row r="23" spans="2:13" s="1" customFormat="1" ht="25.5" customHeight="1" x14ac:dyDescent="0.2">
      <c r="B23" s="10" t="str">
        <f>TRIM(IF(PREENCHER!$C26=0,"",PREENCHER!$C26))</f>
        <v/>
      </c>
      <c r="C23" s="11" t="str">
        <f>IFERROR(LEFT(PREENCHER!$D26,(SEARCH(" ",PREENCHER!$D26,1)-1)),"")</f>
        <v/>
      </c>
      <c r="D23" s="11">
        <f>PREENCHER!$G26</f>
        <v>0</v>
      </c>
      <c r="E23" s="45"/>
      <c r="F23" s="46"/>
      <c r="G23" s="12" t="str">
        <f>IF(B23&lt;&gt;"",PREENCHER!$C$5,"/")</f>
        <v>/</v>
      </c>
      <c r="H23" s="13" t="str">
        <f>IF(B23&lt;&gt;"",PREENCHER!$C$6,":")</f>
        <v>:</v>
      </c>
      <c r="I23" s="9"/>
      <c r="J23" s="9"/>
      <c r="K23" s="9" t="s">
        <v>24</v>
      </c>
      <c r="L23" s="9"/>
      <c r="M23" s="6"/>
    </row>
    <row r="24" spans="2:13" s="1" customFormat="1" ht="25.5" customHeight="1" x14ac:dyDescent="0.2">
      <c r="B24" s="10" t="str">
        <f>TRIM(IF(PREENCHER!$C27=0,"",PREENCHER!$C27))</f>
        <v/>
      </c>
      <c r="C24" s="11" t="str">
        <f>IFERROR(LEFT(PREENCHER!$D27,(SEARCH(" ",PREENCHER!$D27,1)-1)),"")</f>
        <v/>
      </c>
      <c r="D24" s="11">
        <f>PREENCHER!$G27</f>
        <v>0</v>
      </c>
      <c r="E24" s="45"/>
      <c r="F24" s="46"/>
      <c r="G24" s="12" t="str">
        <f>IF(B24&lt;&gt;"",PREENCHER!$C$5,"/")</f>
        <v>/</v>
      </c>
      <c r="H24" s="13" t="str">
        <f>IF(B24&lt;&gt;"",PREENCHER!$C$6,":")</f>
        <v>:</v>
      </c>
      <c r="I24" s="9"/>
      <c r="J24" s="9"/>
      <c r="K24" s="9" t="s">
        <v>24</v>
      </c>
      <c r="L24" s="9"/>
      <c r="M24" s="6"/>
    </row>
    <row r="25" spans="2:13" s="1" customFormat="1" ht="25.5" customHeight="1" x14ac:dyDescent="0.2">
      <c r="B25" s="10" t="str">
        <f>TRIM(IF(PREENCHER!$C28=0,"",PREENCHER!$C28))</f>
        <v/>
      </c>
      <c r="C25" s="11" t="str">
        <f>IFERROR(LEFT(PREENCHER!$D28,(SEARCH(" ",PREENCHER!$D28,1)-1)),"")</f>
        <v/>
      </c>
      <c r="D25" s="11">
        <f>PREENCHER!$G28</f>
        <v>0</v>
      </c>
      <c r="E25" s="45"/>
      <c r="F25" s="46"/>
      <c r="G25" s="12" t="str">
        <f>IF(B25&lt;&gt;"",PREENCHER!$C$5,"/")</f>
        <v>/</v>
      </c>
      <c r="H25" s="13" t="str">
        <f>IF(B25&lt;&gt;"",PREENCHER!$C$6,":")</f>
        <v>:</v>
      </c>
      <c r="I25" s="9"/>
      <c r="J25" s="9"/>
      <c r="K25" s="9" t="s">
        <v>24</v>
      </c>
      <c r="L25" s="9"/>
      <c r="M25" s="6"/>
    </row>
    <row r="26" spans="2:13" s="1" customFormat="1" ht="25.5" customHeight="1" x14ac:dyDescent="0.2">
      <c r="B26" s="10" t="str">
        <f>TRIM(IF(PREENCHER!$C29=0,"",PREENCHER!$C29))</f>
        <v/>
      </c>
      <c r="C26" s="11" t="str">
        <f>IFERROR(LEFT(PREENCHER!$D29,(SEARCH(" ",PREENCHER!$D29,1)-1)),"")</f>
        <v/>
      </c>
      <c r="D26" s="11">
        <f>PREENCHER!$G29</f>
        <v>0</v>
      </c>
      <c r="E26" s="45"/>
      <c r="F26" s="46"/>
      <c r="G26" s="12" t="str">
        <f>IF(B26&lt;&gt;"",PREENCHER!$C$5,"/")</f>
        <v>/</v>
      </c>
      <c r="H26" s="13" t="str">
        <f>IF(B26&lt;&gt;"",PREENCHER!$C$6,":")</f>
        <v>:</v>
      </c>
      <c r="I26" s="9"/>
      <c r="J26" s="9"/>
      <c r="K26" s="9" t="s">
        <v>24</v>
      </c>
      <c r="L26" s="9"/>
      <c r="M26" s="6"/>
    </row>
    <row r="27" spans="2:13" s="1" customFormat="1" ht="25.5" customHeight="1" x14ac:dyDescent="0.2">
      <c r="B27" s="10" t="str">
        <f>TRIM(IF(PREENCHER!$C30=0,"",PREENCHER!$C30))</f>
        <v/>
      </c>
      <c r="C27" s="11" t="str">
        <f>IFERROR(LEFT(PREENCHER!$D30,(SEARCH(" ",PREENCHER!$D30,1)-1)),"")</f>
        <v/>
      </c>
      <c r="D27" s="11">
        <f>PREENCHER!$G30</f>
        <v>0</v>
      </c>
      <c r="E27" s="45"/>
      <c r="F27" s="46"/>
      <c r="G27" s="12" t="str">
        <f>IF(B27&lt;&gt;"",PREENCHER!$C$5,"/")</f>
        <v>/</v>
      </c>
      <c r="H27" s="13" t="str">
        <f>IF(B27&lt;&gt;"",PREENCHER!$C$6,":")</f>
        <v>:</v>
      </c>
      <c r="I27" s="9"/>
      <c r="J27" s="9"/>
      <c r="K27" s="9" t="s">
        <v>24</v>
      </c>
      <c r="L27" s="9"/>
      <c r="M27" s="6"/>
    </row>
    <row r="28" spans="2:13" s="1" customFormat="1" ht="25.5" customHeight="1" x14ac:dyDescent="0.2">
      <c r="B28" s="10" t="str">
        <f>TRIM(IF(PREENCHER!$C31=0,"",PREENCHER!$C31))</f>
        <v/>
      </c>
      <c r="C28" s="11" t="str">
        <f>IFERROR(LEFT(PREENCHER!$D31,(SEARCH(" ",PREENCHER!$D31,1)-1)),"")</f>
        <v/>
      </c>
      <c r="D28" s="11">
        <f>PREENCHER!$G31</f>
        <v>0</v>
      </c>
      <c r="E28" s="45"/>
      <c r="F28" s="46"/>
      <c r="G28" s="12" t="str">
        <f>IF(B28&lt;&gt;"",PREENCHER!$C$5,"/")</f>
        <v>/</v>
      </c>
      <c r="H28" s="13" t="str">
        <f>IF(B28&lt;&gt;"",PREENCHER!$C$6,":")</f>
        <v>:</v>
      </c>
      <c r="I28" s="9"/>
      <c r="J28" s="9"/>
      <c r="K28" s="9" t="s">
        <v>24</v>
      </c>
      <c r="L28" s="9"/>
      <c r="M28" s="6"/>
    </row>
    <row r="29" spans="2:13" s="1" customFormat="1" ht="25.5" customHeight="1" x14ac:dyDescent="0.2">
      <c r="B29" s="10" t="str">
        <f>TRIM(IF(PREENCHER!$C32=0,"",PREENCHER!$C32))</f>
        <v/>
      </c>
      <c r="C29" s="11" t="str">
        <f>IFERROR(LEFT(PREENCHER!$D32,(SEARCH(" ",PREENCHER!$D32,1)-1)),"")</f>
        <v/>
      </c>
      <c r="D29" s="11">
        <f>PREENCHER!$G32</f>
        <v>0</v>
      </c>
      <c r="E29" s="45"/>
      <c r="F29" s="46"/>
      <c r="G29" s="12" t="str">
        <f>IF(B29&lt;&gt;"",PREENCHER!$C$5,"/")</f>
        <v>/</v>
      </c>
      <c r="H29" s="13" t="str">
        <f>IF(B29&lt;&gt;"",PREENCHER!$C$6,":")</f>
        <v>:</v>
      </c>
      <c r="I29" s="9"/>
      <c r="J29" s="9"/>
      <c r="K29" s="9" t="s">
        <v>24</v>
      </c>
      <c r="L29" s="9"/>
      <c r="M29" s="6"/>
    </row>
    <row r="30" spans="2:13" s="1" customFormat="1" ht="25.5" customHeight="1" x14ac:dyDescent="0.2">
      <c r="B30" s="10" t="str">
        <f>TRIM(IF(PREENCHER!$C33=0,"",PREENCHER!$C33))</f>
        <v/>
      </c>
      <c r="C30" s="11" t="str">
        <f>IFERROR(LEFT(PREENCHER!$D33,(SEARCH(" ",PREENCHER!$D33,1)-1)),"")</f>
        <v/>
      </c>
      <c r="D30" s="11">
        <f>PREENCHER!$G33</f>
        <v>0</v>
      </c>
      <c r="E30" s="45"/>
      <c r="F30" s="46"/>
      <c r="G30" s="12" t="str">
        <f>IF(B30&lt;&gt;"",PREENCHER!$C$5,"/")</f>
        <v>/</v>
      </c>
      <c r="H30" s="13" t="str">
        <f>IF(B30&lt;&gt;"",PREENCHER!$C$6,":")</f>
        <v>:</v>
      </c>
      <c r="I30" s="9"/>
      <c r="J30" s="9"/>
      <c r="K30" s="9" t="s">
        <v>24</v>
      </c>
      <c r="L30" s="9"/>
      <c r="M30" s="6"/>
    </row>
    <row r="31" spans="2:13" s="1" customFormat="1" ht="25.5" customHeight="1" x14ac:dyDescent="0.2">
      <c r="B31" s="10" t="str">
        <f>TRIM(IF(PREENCHER!$C34=0,"",PREENCHER!$C34))</f>
        <v/>
      </c>
      <c r="C31" s="11" t="str">
        <f>IFERROR(LEFT(PREENCHER!$D34,(SEARCH(" ",PREENCHER!$D34,1)-1)),"")</f>
        <v/>
      </c>
      <c r="D31" s="11">
        <f>PREENCHER!$G34</f>
        <v>0</v>
      </c>
      <c r="E31" s="45"/>
      <c r="F31" s="46"/>
      <c r="G31" s="12" t="str">
        <f>IF(B31&lt;&gt;"",PREENCHER!$C$5,"/")</f>
        <v>/</v>
      </c>
      <c r="H31" s="13" t="str">
        <f>IF(B31&lt;&gt;"",PREENCHER!$C$6,":")</f>
        <v>:</v>
      </c>
      <c r="I31" s="9"/>
      <c r="J31" s="9"/>
      <c r="K31" s="9" t="s">
        <v>24</v>
      </c>
      <c r="L31" s="9"/>
      <c r="M31" s="6"/>
    </row>
    <row r="32" spans="2:13" s="1" customFormat="1" ht="25.5" customHeight="1" x14ac:dyDescent="0.2">
      <c r="B32" s="10" t="str">
        <f>TRIM(IF(PREENCHER!$C35=0,"",PREENCHER!$C35))</f>
        <v/>
      </c>
      <c r="C32" s="11" t="str">
        <f>IFERROR(LEFT(PREENCHER!$D35,(SEARCH(" ",PREENCHER!$D35,1)-1)),"")</f>
        <v/>
      </c>
      <c r="D32" s="11">
        <f>PREENCHER!$G35</f>
        <v>0</v>
      </c>
      <c r="E32" s="45"/>
      <c r="F32" s="46"/>
      <c r="G32" s="12" t="str">
        <f>IF(B32&lt;&gt;"",PREENCHER!$C$5,"/")</f>
        <v>/</v>
      </c>
      <c r="H32" s="13" t="str">
        <f>IF(B32&lt;&gt;"",PREENCHER!$C$6,":")</f>
        <v>:</v>
      </c>
      <c r="I32" s="9"/>
      <c r="J32" s="9"/>
      <c r="K32" s="9" t="s">
        <v>24</v>
      </c>
      <c r="L32" s="9"/>
      <c r="M32" s="6"/>
    </row>
    <row r="33" spans="2:13" s="1" customFormat="1" ht="25.5" customHeight="1" x14ac:dyDescent="0.2">
      <c r="B33" s="10" t="str">
        <f>TRIM(IF(PREENCHER!$C36=0,"",PREENCHER!$C36))</f>
        <v/>
      </c>
      <c r="C33" s="11" t="str">
        <f>IFERROR(LEFT(PREENCHER!$D36,(SEARCH(" ",PREENCHER!$D36,1)-1)),"")</f>
        <v/>
      </c>
      <c r="D33" s="11">
        <f>PREENCHER!$G36</f>
        <v>0</v>
      </c>
      <c r="E33" s="45"/>
      <c r="F33" s="46"/>
      <c r="G33" s="12" t="str">
        <f>IF(B33&lt;&gt;"",PREENCHER!$C$5,"/")</f>
        <v>/</v>
      </c>
      <c r="H33" s="13" t="str">
        <f>IF(B33&lt;&gt;"",PREENCHER!$C$6,":")</f>
        <v>:</v>
      </c>
      <c r="I33" s="9"/>
      <c r="J33" s="9"/>
      <c r="K33" s="9" t="s">
        <v>24</v>
      </c>
      <c r="L33" s="9"/>
      <c r="M33" s="6"/>
    </row>
    <row r="34" spans="2:13" s="1" customFormat="1" ht="25.5" customHeight="1" x14ac:dyDescent="0.2">
      <c r="B34" s="10" t="str">
        <f>TRIM(IF(PREENCHER!$C37=0,"",PREENCHER!$C37))</f>
        <v/>
      </c>
      <c r="C34" s="11" t="str">
        <f>IFERROR(LEFT(PREENCHER!$D37,(SEARCH(" ",PREENCHER!$D37,1)-1)),"")</f>
        <v/>
      </c>
      <c r="D34" s="11">
        <f>PREENCHER!$G37</f>
        <v>0</v>
      </c>
      <c r="E34" s="45"/>
      <c r="F34" s="46"/>
      <c r="G34" s="12" t="str">
        <f>IF(B34&lt;&gt;"",PREENCHER!$C$5,"/")</f>
        <v>/</v>
      </c>
      <c r="H34" s="13" t="str">
        <f>IF(B34&lt;&gt;"",PREENCHER!$C$6,":")</f>
        <v>:</v>
      </c>
      <c r="I34" s="9"/>
      <c r="J34" s="9"/>
      <c r="K34" s="9" t="s">
        <v>24</v>
      </c>
      <c r="L34" s="9"/>
      <c r="M34" s="6"/>
    </row>
    <row r="35" spans="2:13" s="1" customFormat="1" ht="25.5" customHeight="1" x14ac:dyDescent="0.2">
      <c r="B35" s="10" t="str">
        <f>TRIM(IF(PREENCHER!$C38=0,"",PREENCHER!$C38))</f>
        <v/>
      </c>
      <c r="C35" s="11" t="str">
        <f>IFERROR(LEFT(PREENCHER!$D38,(SEARCH(" ",PREENCHER!$D38,1)-1)),"")</f>
        <v/>
      </c>
      <c r="D35" s="11">
        <f>PREENCHER!$G38</f>
        <v>0</v>
      </c>
      <c r="E35" s="45"/>
      <c r="F35" s="46"/>
      <c r="G35" s="12" t="str">
        <f>IF(B35&lt;&gt;"",PREENCHER!$C$5,"/")</f>
        <v>/</v>
      </c>
      <c r="H35" s="13" t="str">
        <f>IF(B35&lt;&gt;"",PREENCHER!$C$6,":")</f>
        <v>:</v>
      </c>
      <c r="I35" s="9"/>
      <c r="J35" s="9"/>
      <c r="K35" s="9" t="s">
        <v>24</v>
      </c>
      <c r="L35" s="9"/>
      <c r="M35" s="6"/>
    </row>
    <row r="36" spans="2:13" s="1" customFormat="1" ht="25.5" customHeight="1" x14ac:dyDescent="0.2">
      <c r="B36" s="10" t="str">
        <f>TRIM(IF(PREENCHER!$C39=0,"",PREENCHER!$C39))</f>
        <v/>
      </c>
      <c r="C36" s="11" t="str">
        <f>IFERROR(LEFT(PREENCHER!$D39,(SEARCH(" ",PREENCHER!$D39,1)-1)),"")</f>
        <v/>
      </c>
      <c r="D36" s="11">
        <f>PREENCHER!$G39</f>
        <v>0</v>
      </c>
      <c r="E36" s="45"/>
      <c r="F36" s="46"/>
      <c r="G36" s="12" t="str">
        <f>IF(B36&lt;&gt;"",PREENCHER!$C$5,"/")</f>
        <v>/</v>
      </c>
      <c r="H36" s="13" t="str">
        <f>IF(B36&lt;&gt;"",PREENCHER!$C$6,":")</f>
        <v>:</v>
      </c>
      <c r="I36" s="9"/>
      <c r="J36" s="9"/>
      <c r="K36" s="9" t="s">
        <v>24</v>
      </c>
      <c r="L36" s="9"/>
      <c r="M36" s="6"/>
    </row>
    <row r="37" spans="2:13" s="1" customFormat="1" ht="25.5" customHeight="1" x14ac:dyDescent="0.2">
      <c r="B37" s="10" t="str">
        <f>TRIM(IF(PREENCHER!$C40=0,"",PREENCHER!$C40))</f>
        <v/>
      </c>
      <c r="C37" s="11" t="str">
        <f>IFERROR(LEFT(PREENCHER!$D40,(SEARCH(" ",PREENCHER!$D40,1)-1)),"")</f>
        <v/>
      </c>
      <c r="D37" s="11">
        <f>PREENCHER!$G40</f>
        <v>0</v>
      </c>
      <c r="E37" s="45"/>
      <c r="F37" s="46"/>
      <c r="G37" s="12" t="str">
        <f>IF(B37&lt;&gt;"",PREENCHER!$C$5,"/")</f>
        <v>/</v>
      </c>
      <c r="H37" s="13" t="str">
        <f>IF(B37&lt;&gt;"",PREENCHER!$C$6,":")</f>
        <v>:</v>
      </c>
      <c r="I37" s="9"/>
      <c r="J37" s="9"/>
      <c r="K37" s="9" t="s">
        <v>24</v>
      </c>
      <c r="L37" s="9"/>
      <c r="M37" s="6"/>
    </row>
    <row r="38" spans="2:13" s="1" customFormat="1" ht="25.5" customHeight="1" x14ac:dyDescent="0.2">
      <c r="B38" s="10" t="str">
        <f>TRIM(IF(PREENCHER!$C41=0,"",PREENCHER!$C41))</f>
        <v/>
      </c>
      <c r="C38" s="11" t="str">
        <f>IFERROR(LEFT(PREENCHER!$D41,(SEARCH(" ",PREENCHER!$D41,1)-1)),"")</f>
        <v/>
      </c>
      <c r="D38" s="11">
        <f>PREENCHER!$G41</f>
        <v>0</v>
      </c>
      <c r="E38" s="45"/>
      <c r="F38" s="46"/>
      <c r="G38" s="12" t="str">
        <f>IF(B38&lt;&gt;"",PREENCHER!$C$5,"/")</f>
        <v>/</v>
      </c>
      <c r="H38" s="13" t="str">
        <f>IF(B38&lt;&gt;"",PREENCHER!$C$6,":")</f>
        <v>:</v>
      </c>
      <c r="I38" s="9"/>
      <c r="J38" s="9"/>
      <c r="K38" s="9" t="s">
        <v>24</v>
      </c>
      <c r="L38" s="9"/>
      <c r="M38" s="6"/>
    </row>
    <row r="39" spans="2:13" s="1" customFormat="1" ht="25.5" customHeight="1" x14ac:dyDescent="0.2">
      <c r="B39" s="10" t="str">
        <f>TRIM(IF(PREENCHER!$C42=0,"",PREENCHER!$C42))</f>
        <v/>
      </c>
      <c r="C39" s="11" t="str">
        <f>IFERROR(LEFT(PREENCHER!$D42,(SEARCH(" ",PREENCHER!$D42,1)-1)),"")</f>
        <v/>
      </c>
      <c r="D39" s="11">
        <f>PREENCHER!$G42</f>
        <v>0</v>
      </c>
      <c r="E39" s="45"/>
      <c r="F39" s="46"/>
      <c r="G39" s="12" t="str">
        <f>IF(B39&lt;&gt;"",PREENCHER!$C$5,"/")</f>
        <v>/</v>
      </c>
      <c r="H39" s="13" t="str">
        <f>IF(B39&lt;&gt;"",PREENCHER!$C$6,":")</f>
        <v>:</v>
      </c>
      <c r="I39" s="9"/>
      <c r="J39" s="9"/>
      <c r="K39" s="9" t="s">
        <v>24</v>
      </c>
      <c r="L39" s="9"/>
      <c r="M39" s="6"/>
    </row>
    <row r="40" spans="2:13" s="1" customFormat="1" ht="25.5" customHeight="1" x14ac:dyDescent="0.2">
      <c r="B40" s="10" t="str">
        <f>TRIM(IF(PREENCHER!$C43=0,"",PREENCHER!$C43))</f>
        <v/>
      </c>
      <c r="C40" s="11" t="str">
        <f>IFERROR(LEFT(PREENCHER!$D43,(SEARCH(" ",PREENCHER!$D43,1)-1)),"")</f>
        <v/>
      </c>
      <c r="D40" s="11">
        <f>PREENCHER!$G43</f>
        <v>0</v>
      </c>
      <c r="E40" s="45"/>
      <c r="F40" s="46"/>
      <c r="G40" s="12" t="str">
        <f>IF(B40&lt;&gt;"",PREENCHER!$C$5,"/")</f>
        <v>/</v>
      </c>
      <c r="H40" s="13" t="str">
        <f>IF(B40&lt;&gt;"",PREENCHER!$C$6,":")</f>
        <v>:</v>
      </c>
      <c r="I40" s="9"/>
      <c r="J40" s="9"/>
      <c r="K40" s="9" t="s">
        <v>24</v>
      </c>
      <c r="L40" s="9"/>
      <c r="M40" s="6"/>
    </row>
    <row r="41" spans="2:13" s="1" customFormat="1" ht="25.5" customHeight="1" x14ac:dyDescent="0.2">
      <c r="B41" s="10" t="str">
        <f>TRIM(IF(PREENCHER!$C44=0,"",PREENCHER!$C44))</f>
        <v/>
      </c>
      <c r="C41" s="11" t="str">
        <f>IFERROR(LEFT(PREENCHER!$D44,(SEARCH(" ",PREENCHER!$D44,1)-1)),"")</f>
        <v/>
      </c>
      <c r="D41" s="11">
        <f>PREENCHER!$G44</f>
        <v>0</v>
      </c>
      <c r="E41" s="45"/>
      <c r="F41" s="46"/>
      <c r="G41" s="12" t="str">
        <f>IF(B41&lt;&gt;"",PREENCHER!$C$5,"/")</f>
        <v>/</v>
      </c>
      <c r="H41" s="13" t="str">
        <f>IF(B41&lt;&gt;"",PREENCHER!$C$6,":")</f>
        <v>:</v>
      </c>
      <c r="I41" s="9"/>
      <c r="J41" s="9"/>
      <c r="K41" s="9" t="s">
        <v>24</v>
      </c>
      <c r="L41" s="9"/>
      <c r="M41" s="6"/>
    </row>
    <row r="42" spans="2:13" s="1" customFormat="1" ht="25.5" customHeight="1" x14ac:dyDescent="0.2">
      <c r="B42" s="10" t="str">
        <f>TRIM(IF(PREENCHER!$C45=0,"",PREENCHER!$C45))</f>
        <v/>
      </c>
      <c r="C42" s="11" t="str">
        <f>IFERROR(LEFT(PREENCHER!$D45,(SEARCH(" ",PREENCHER!$D45,1)-1)),"")</f>
        <v/>
      </c>
      <c r="D42" s="11">
        <f>PREENCHER!$G45</f>
        <v>0</v>
      </c>
      <c r="E42" s="45"/>
      <c r="F42" s="46"/>
      <c r="G42" s="12" t="str">
        <f>IF(B42&lt;&gt;"",PREENCHER!$C$5,"/")</f>
        <v>/</v>
      </c>
      <c r="H42" s="13" t="str">
        <f>IF(B42&lt;&gt;"",PREENCHER!$C$6,":")</f>
        <v>:</v>
      </c>
      <c r="I42" s="9"/>
      <c r="J42" s="9"/>
      <c r="K42" s="9" t="s">
        <v>24</v>
      </c>
      <c r="L42" s="9"/>
      <c r="M42" s="6"/>
    </row>
    <row r="43" spans="2:13" s="1" customFormat="1" ht="25.5" customHeight="1" x14ac:dyDescent="0.2">
      <c r="B43" s="10" t="str">
        <f>TRIM(IF(PREENCHER!$C46=0,"",PREENCHER!$C46))</f>
        <v/>
      </c>
      <c r="C43" s="11" t="str">
        <f>IFERROR(LEFT(PREENCHER!$D46,(SEARCH(" ",PREENCHER!$D46,1)-1)),"")</f>
        <v/>
      </c>
      <c r="D43" s="11">
        <f>PREENCHER!$G46</f>
        <v>0</v>
      </c>
      <c r="E43" s="45"/>
      <c r="F43" s="46"/>
      <c r="G43" s="12" t="str">
        <f>IF(B43&lt;&gt;"",PREENCHER!$C$5,"/")</f>
        <v>/</v>
      </c>
      <c r="H43" s="13" t="str">
        <f>IF(B43&lt;&gt;"",PREENCHER!$C$6,":")</f>
        <v>:</v>
      </c>
      <c r="I43" s="9"/>
      <c r="J43" s="9"/>
      <c r="K43" s="9" t="s">
        <v>24</v>
      </c>
      <c r="L43" s="9"/>
      <c r="M43" s="6"/>
    </row>
    <row r="44" spans="2:13" s="1" customFormat="1" ht="25.5" customHeight="1" x14ac:dyDescent="0.2">
      <c r="B44" s="10" t="str">
        <f>TRIM(IF(PREENCHER!$C47=0,"",PREENCHER!$C47))</f>
        <v/>
      </c>
      <c r="C44" s="11" t="str">
        <f>IFERROR(LEFT(PREENCHER!$D47,(SEARCH(" ",PREENCHER!$D47,1)-1)),"")</f>
        <v/>
      </c>
      <c r="D44" s="11">
        <f>PREENCHER!$G47</f>
        <v>0</v>
      </c>
      <c r="E44" s="45"/>
      <c r="F44" s="46"/>
      <c r="G44" s="12" t="str">
        <f>IF(B44&lt;&gt;"",PREENCHER!$C$5,"/")</f>
        <v>/</v>
      </c>
      <c r="H44" s="13" t="str">
        <f>IF(B44&lt;&gt;"",PREENCHER!$C$6,":")</f>
        <v>:</v>
      </c>
      <c r="I44" s="9"/>
      <c r="J44" s="9"/>
      <c r="K44" s="9" t="s">
        <v>24</v>
      </c>
      <c r="L44" s="9"/>
      <c r="M44" s="6"/>
    </row>
    <row r="45" spans="2:13" s="1" customFormat="1" ht="25.5" customHeight="1" x14ac:dyDescent="0.2">
      <c r="B45" s="10" t="str">
        <f>TRIM(IF(PREENCHER!$C48=0,"",PREENCHER!$C48))</f>
        <v/>
      </c>
      <c r="C45" s="11" t="str">
        <f>IFERROR(LEFT(PREENCHER!$D48,(SEARCH(" ",PREENCHER!$D48,1)-1)),"")</f>
        <v/>
      </c>
      <c r="D45" s="11">
        <f>PREENCHER!$G48</f>
        <v>0</v>
      </c>
      <c r="E45" s="45"/>
      <c r="F45" s="46"/>
      <c r="G45" s="12" t="str">
        <f>IF(B45&lt;&gt;"",PREENCHER!$C$5,"/")</f>
        <v>/</v>
      </c>
      <c r="H45" s="13" t="str">
        <f>IF(B45&lt;&gt;"",PREENCHER!$C$6,":")</f>
        <v>:</v>
      </c>
      <c r="I45" s="9"/>
      <c r="J45" s="9"/>
      <c r="K45" s="9" t="s">
        <v>24</v>
      </c>
      <c r="L45" s="9"/>
      <c r="M45" s="6"/>
    </row>
    <row r="46" spans="2:13" s="1" customFormat="1" ht="25.5" customHeight="1" x14ac:dyDescent="0.2">
      <c r="B46" s="10" t="str">
        <f>TRIM(IF(PREENCHER!$C49=0,"",PREENCHER!$C49))</f>
        <v/>
      </c>
      <c r="C46" s="11" t="str">
        <f>IFERROR(LEFT(PREENCHER!$D49,(SEARCH(" ",PREENCHER!$D49,1)-1)),"")</f>
        <v/>
      </c>
      <c r="D46" s="11">
        <f>PREENCHER!$G49</f>
        <v>0</v>
      </c>
      <c r="E46" s="45"/>
      <c r="F46" s="46"/>
      <c r="G46" s="12" t="str">
        <f>IF(B46&lt;&gt;"",PREENCHER!$C$5,"/")</f>
        <v>/</v>
      </c>
      <c r="H46" s="13" t="str">
        <f>IF(B46&lt;&gt;"",PREENCHER!$C$6,":")</f>
        <v>:</v>
      </c>
      <c r="I46" s="9"/>
      <c r="J46" s="9"/>
      <c r="K46" s="9" t="s">
        <v>24</v>
      </c>
      <c r="L46" s="9"/>
      <c r="M46" s="6"/>
    </row>
    <row r="47" spans="2:13" s="1" customFormat="1" ht="25.5" customHeight="1" x14ac:dyDescent="0.2">
      <c r="B47" s="10" t="str">
        <f>TRIM(IF(PREENCHER!$C50=0,"",PREENCHER!$C50))</f>
        <v/>
      </c>
      <c r="C47" s="11" t="str">
        <f>IFERROR(LEFT(PREENCHER!$D50,(SEARCH(" ",PREENCHER!$D50,1)-1)),"")</f>
        <v/>
      </c>
      <c r="D47" s="11">
        <f>PREENCHER!$G50</f>
        <v>0</v>
      </c>
      <c r="E47" s="45"/>
      <c r="F47" s="46"/>
      <c r="G47" s="12" t="str">
        <f>IF(B47&lt;&gt;"",PREENCHER!$C$5,"/")</f>
        <v>/</v>
      </c>
      <c r="H47" s="13" t="str">
        <f>IF(B47&lt;&gt;"",PREENCHER!$C$6,":")</f>
        <v>:</v>
      </c>
      <c r="I47" s="9"/>
      <c r="J47" s="9"/>
      <c r="K47" s="9" t="s">
        <v>24</v>
      </c>
      <c r="L47" s="9"/>
      <c r="M47" s="6"/>
    </row>
    <row r="48" spans="2:13" s="1" customFormat="1" ht="25.5" customHeight="1" x14ac:dyDescent="0.2">
      <c r="B48" s="10" t="str">
        <f>TRIM(IF(PREENCHER!$C51=0,"",PREENCHER!$C51))</f>
        <v/>
      </c>
      <c r="C48" s="11" t="str">
        <f>IFERROR(LEFT(PREENCHER!$D51,(SEARCH(" ",PREENCHER!$D51,1)-1)),"")</f>
        <v/>
      </c>
      <c r="D48" s="11">
        <f>PREENCHER!$G51</f>
        <v>0</v>
      </c>
      <c r="E48" s="45"/>
      <c r="F48" s="46"/>
      <c r="G48" s="12" t="str">
        <f>IF(B48&lt;&gt;"",PREENCHER!$C$5,"/")</f>
        <v>/</v>
      </c>
      <c r="H48" s="13" t="str">
        <f>IF(B48&lt;&gt;"",PREENCHER!$C$6,":")</f>
        <v>:</v>
      </c>
      <c r="I48" s="9"/>
      <c r="J48" s="9"/>
      <c r="K48" s="9" t="s">
        <v>24</v>
      </c>
      <c r="L48" s="9"/>
      <c r="M48" s="6"/>
    </row>
    <row r="49" spans="2:13" ht="31.5" customHeight="1" x14ac:dyDescent="0.2">
      <c r="B49" s="37" t="s">
        <v>25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6"/>
    </row>
  </sheetData>
  <sheetProtection selectLockedCells="1" selectUnlockedCells="1"/>
  <mergeCells count="53">
    <mergeCell ref="E48:F48"/>
    <mergeCell ref="J3:L3"/>
    <mergeCell ref="E42:F42"/>
    <mergeCell ref="E43:F43"/>
    <mergeCell ref="E44:F44"/>
    <mergeCell ref="E45:F45"/>
    <mergeCell ref="E46:F46"/>
    <mergeCell ref="E47:F47"/>
    <mergeCell ref="E36:F36"/>
    <mergeCell ref="E37:F37"/>
    <mergeCell ref="E39:F39"/>
    <mergeCell ref="E40:F40"/>
    <mergeCell ref="E41:F41"/>
    <mergeCell ref="E30:F30"/>
    <mergeCell ref="E31:F31"/>
    <mergeCell ref="E32:F32"/>
    <mergeCell ref="E17:F17"/>
    <mergeCell ref="E38:F38"/>
    <mergeCell ref="E19:F19"/>
    <mergeCell ref="E20:F20"/>
    <mergeCell ref="E21:F21"/>
    <mergeCell ref="E22:F22"/>
    <mergeCell ref="E23:F23"/>
    <mergeCell ref="E24:F24"/>
    <mergeCell ref="E33:F33"/>
    <mergeCell ref="E34:F34"/>
    <mergeCell ref="E35:F35"/>
    <mergeCell ref="E25:F25"/>
    <mergeCell ref="E26:F26"/>
    <mergeCell ref="E27:F27"/>
    <mergeCell ref="E28:F28"/>
    <mergeCell ref="E29:F29"/>
    <mergeCell ref="E12:F12"/>
    <mergeCell ref="E13:F13"/>
    <mergeCell ref="E14:F14"/>
    <mergeCell ref="E15:F15"/>
    <mergeCell ref="E16:F16"/>
    <mergeCell ref="C1:L1"/>
    <mergeCell ref="B49:L49"/>
    <mergeCell ref="B2:D2"/>
    <mergeCell ref="E2:G2"/>
    <mergeCell ref="I2:J2"/>
    <mergeCell ref="C3:F3"/>
    <mergeCell ref="G3:I3"/>
    <mergeCell ref="E4:F4"/>
    <mergeCell ref="E5:F5"/>
    <mergeCell ref="E6:F6"/>
    <mergeCell ref="E18:F18"/>
    <mergeCell ref="E7:F7"/>
    <mergeCell ref="E8:F8"/>
    <mergeCell ref="E9:F9"/>
    <mergeCell ref="E10:F10"/>
    <mergeCell ref="E11:F11"/>
  </mergeCells>
  <conditionalFormatting sqref="A2:M1048576 M1 A1:C1">
    <cfRule type="cellIs" dxfId="0" priority="2" operator="equal">
      <formula>0</formula>
    </cfRule>
  </conditionalFormatting>
  <pageMargins left="0.28680555555555554" right="0.15763888888888888" top="0.15763888888888888" bottom="0.15763888888888888" header="0.51180555555555551" footer="0.51180555555555551"/>
  <pageSetup paperSize="9" scale="56"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B0F0-B7F5-4646-A3F5-8E15A929B780}">
  <sheetPr codeName="Planilha3">
    <tabColor theme="7" tint="0.59999389629810485"/>
  </sheetPr>
  <dimension ref="A1:A11"/>
  <sheetViews>
    <sheetView view="pageLayout" zoomScaleNormal="55" workbookViewId="0"/>
  </sheetViews>
  <sheetFormatPr defaultRowHeight="12.75" x14ac:dyDescent="0.2"/>
  <cols>
    <col min="1" max="1" width="89.28515625" customWidth="1"/>
  </cols>
  <sheetData>
    <row r="1" spans="1:1" ht="59.25" customHeight="1" x14ac:dyDescent="0.2">
      <c r="A1" s="16" t="s">
        <v>26</v>
      </c>
    </row>
    <row r="2" spans="1:1" ht="45.75" x14ac:dyDescent="0.2">
      <c r="A2" s="16" t="s">
        <v>27</v>
      </c>
    </row>
    <row r="3" spans="1:1" ht="73.5" customHeight="1" x14ac:dyDescent="0.2">
      <c r="A3" s="17">
        <f>PREENCHER!C2</f>
        <v>0</v>
      </c>
    </row>
    <row r="4" spans="1:1" ht="45.75" x14ac:dyDescent="0.2">
      <c r="A4" s="18" t="s">
        <v>28</v>
      </c>
    </row>
    <row r="5" spans="1:1" ht="91.5" customHeight="1" x14ac:dyDescent="0.2">
      <c r="A5" s="18">
        <f>PREENCHER!B8</f>
        <v>0</v>
      </c>
    </row>
    <row r="6" spans="1:1" ht="45.75" x14ac:dyDescent="0.2">
      <c r="A6" s="16" t="s">
        <v>29</v>
      </c>
    </row>
    <row r="7" spans="1:1" ht="90" customHeight="1" x14ac:dyDescent="0.2">
      <c r="A7" s="18">
        <f>PREENCHER!C3</f>
        <v>0</v>
      </c>
    </row>
    <row r="8" spans="1:1" ht="45.75" x14ac:dyDescent="0.2">
      <c r="A8" s="16" t="s">
        <v>30</v>
      </c>
    </row>
    <row r="9" spans="1:1" ht="90" customHeight="1" x14ac:dyDescent="0.2">
      <c r="A9" s="18">
        <f>PREENCHER!C4</f>
        <v>0</v>
      </c>
    </row>
    <row r="10" spans="1:1" ht="45.75" x14ac:dyDescent="0.2">
      <c r="A10" s="16" t="s">
        <v>31</v>
      </c>
    </row>
    <row r="11" spans="1:1" ht="111.75" customHeight="1" x14ac:dyDescent="0.2">
      <c r="A11" s="19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75229C-465B-444E-812E-98A7829476D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660AA5D-BDEB-4B43-BCEF-67179059C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0A6D0E-39E4-465D-99FB-6F21D48E96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PREENCHER</vt:lpstr>
      <vt:lpstr>DOUBLECHECK</vt:lpstr>
      <vt:lpstr>MASCARA</vt:lpstr>
      <vt:lpstr>DOUBLECHECK!Area_de_impressao</vt:lpstr>
      <vt:lpstr>PREENCHER!Area_de_impressao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</dc:creator>
  <cp:keywords/>
  <dc:description/>
  <cp:lastModifiedBy>Flavia Regina de Souza Campos</cp:lastModifiedBy>
  <cp:revision>7</cp:revision>
  <cp:lastPrinted>2022-03-30T10:02:01Z</cp:lastPrinted>
  <dcterms:created xsi:type="dcterms:W3CDTF">2012-07-05T15:25:04Z</dcterms:created>
  <dcterms:modified xsi:type="dcterms:W3CDTF">2022-03-30T10:20:55Z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