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EstaPastaDeTrabalho"/>
  <mc:AlternateContent xmlns:mc="http://schemas.openxmlformats.org/markup-compatibility/2006">
    <mc:Choice Requires="x15">
      <x15ac:absPath xmlns:x15ac="http://schemas.microsoft.com/office/spreadsheetml/2010/11/ac" url="\\Adserver\Publico\Alison\"/>
    </mc:Choice>
  </mc:AlternateContent>
  <xr:revisionPtr revIDLastSave="0" documentId="13_ncr:1_{EE44A2EE-A605-40E3-B4BF-EE1036166480}" xr6:coauthVersionLast="45" xr6:coauthVersionMax="47" xr10:uidLastSave="{00000000-0000-0000-0000-000000000000}"/>
  <bookViews>
    <workbookView xWindow="0" yWindow="660" windowWidth="19200" windowHeight="7350" xr2:uid="{00000000-000D-0000-FFFF-FFFF00000000}"/>
  </bookViews>
  <sheets>
    <sheet name="PREENCHER" sheetId="2" r:id="rId1"/>
    <sheet name="DOUBLECHECK" sheetId="1" r:id="rId2"/>
    <sheet name="MASCARA" sheetId="3" r:id="rId3"/>
  </sheets>
  <definedNames>
    <definedName name="_xlnm.Print_Area" localSheetId="1">DOUBLECHECK!$B$1:$L$49</definedName>
    <definedName name="_xlnm.Print_Area" localSheetId="0">PREENCHER!$A$1:$H$51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9" i="3" l="1"/>
  <c r="A7" i="3"/>
  <c r="A5" i="3"/>
  <c r="A3" i="3"/>
  <c r="B2" i="1"/>
  <c r="C21" i="1" l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B21" i="1"/>
  <c r="G21" i="1" s="1"/>
  <c r="B22" i="1"/>
  <c r="H22" i="1" s="1"/>
  <c r="B23" i="1"/>
  <c r="H23" i="1" s="1"/>
  <c r="B24" i="1"/>
  <c r="H24" i="1" s="1"/>
  <c r="B25" i="1"/>
  <c r="G25" i="1" s="1"/>
  <c r="B26" i="1"/>
  <c r="H26" i="1" s="1"/>
  <c r="B27" i="1"/>
  <c r="H27" i="1" s="1"/>
  <c r="B28" i="1"/>
  <c r="H28" i="1" s="1"/>
  <c r="B29" i="1"/>
  <c r="G29" i="1" s="1"/>
  <c r="B30" i="1"/>
  <c r="H30" i="1" s="1"/>
  <c r="B31" i="1"/>
  <c r="H31" i="1" s="1"/>
  <c r="B32" i="1"/>
  <c r="H32" i="1" s="1"/>
  <c r="B33" i="1"/>
  <c r="G33" i="1" s="1"/>
  <c r="B34" i="1"/>
  <c r="H34" i="1" s="1"/>
  <c r="B35" i="1"/>
  <c r="H35" i="1" s="1"/>
  <c r="B36" i="1"/>
  <c r="H36" i="1" s="1"/>
  <c r="B37" i="1"/>
  <c r="G37" i="1" s="1"/>
  <c r="B38" i="1"/>
  <c r="H38" i="1" s="1"/>
  <c r="B39" i="1"/>
  <c r="H39" i="1" s="1"/>
  <c r="B40" i="1"/>
  <c r="H40" i="1" s="1"/>
  <c r="B41" i="1"/>
  <c r="G41" i="1" s="1"/>
  <c r="B42" i="1"/>
  <c r="H42" i="1" s="1"/>
  <c r="B43" i="1"/>
  <c r="H43" i="1" s="1"/>
  <c r="B44" i="1"/>
  <c r="H44" i="1" s="1"/>
  <c r="B45" i="1"/>
  <c r="G45" i="1" s="1"/>
  <c r="B46" i="1"/>
  <c r="H46" i="1" s="1"/>
  <c r="B47" i="1"/>
  <c r="H47" i="1" s="1"/>
  <c r="B48" i="1"/>
  <c r="H48" i="1" s="1"/>
  <c r="B5" i="1"/>
  <c r="H5" i="1" s="1"/>
  <c r="B6" i="1"/>
  <c r="H6" i="1" s="1"/>
  <c r="B7" i="1"/>
  <c r="H7" i="1" s="1"/>
  <c r="B8" i="1"/>
  <c r="G8" i="1" s="1"/>
  <c r="B9" i="1"/>
  <c r="G9" i="1" s="1"/>
  <c r="B10" i="1"/>
  <c r="H10" i="1" s="1"/>
  <c r="B11" i="1"/>
  <c r="G11" i="1" s="1"/>
  <c r="B12" i="1"/>
  <c r="H12" i="1" s="1"/>
  <c r="B13" i="1"/>
  <c r="G13" i="1" s="1"/>
  <c r="B14" i="1"/>
  <c r="H14" i="1" s="1"/>
  <c r="B15" i="1"/>
  <c r="G15" i="1" s="1"/>
  <c r="B16" i="1"/>
  <c r="G16" i="1" s="1"/>
  <c r="B17" i="1"/>
  <c r="H17" i="1" s="1"/>
  <c r="B18" i="1"/>
  <c r="H18" i="1" s="1"/>
  <c r="B19" i="1"/>
  <c r="G19" i="1" s="1"/>
  <c r="B20" i="1"/>
  <c r="G20" i="1" s="1"/>
  <c r="H33" i="1" l="1"/>
  <c r="H45" i="1"/>
  <c r="H29" i="1"/>
  <c r="H41" i="1"/>
  <c r="H25" i="1"/>
  <c r="H37" i="1"/>
  <c r="H21" i="1"/>
  <c r="G48" i="1"/>
  <c r="G44" i="1"/>
  <c r="G40" i="1"/>
  <c r="G36" i="1"/>
  <c r="G32" i="1"/>
  <c r="G28" i="1"/>
  <c r="G24" i="1"/>
  <c r="G5" i="1"/>
  <c r="G17" i="1"/>
  <c r="G47" i="1"/>
  <c r="G43" i="1"/>
  <c r="G39" i="1"/>
  <c r="G35" i="1"/>
  <c r="G31" i="1"/>
  <c r="G27" i="1"/>
  <c r="G23" i="1"/>
  <c r="H16" i="1"/>
  <c r="G46" i="1"/>
  <c r="G42" i="1"/>
  <c r="G38" i="1"/>
  <c r="G34" i="1"/>
  <c r="G30" i="1"/>
  <c r="G26" i="1"/>
  <c r="G22" i="1"/>
  <c r="H9" i="1"/>
  <c r="G12" i="1"/>
  <c r="H8" i="1"/>
  <c r="G7" i="1"/>
  <c r="H11" i="1"/>
  <c r="H15" i="1"/>
  <c r="H19" i="1"/>
  <c r="H13" i="1"/>
  <c r="G18" i="1"/>
  <c r="G14" i="1"/>
  <c r="G10" i="1"/>
  <c r="G6" i="1"/>
  <c r="H20" i="1"/>
  <c r="D6" i="1" l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5" i="1"/>
  <c r="I2" i="1"/>
  <c r="H2" i="1"/>
  <c r="E2" i="1"/>
</calcChain>
</file>

<file path=xl/sharedStrings.xml><?xml version="1.0" encoding="utf-8"?>
<sst xmlns="http://schemas.openxmlformats.org/spreadsheetml/2006/main" count="80" uniqueCount="35">
  <si>
    <t>PREENCHER FORMULÁRIO</t>
  </si>
  <si>
    <t>CLIENTE:</t>
  </si>
  <si>
    <t>OP:</t>
  </si>
  <si>
    <t>QTD OP:</t>
  </si>
  <si>
    <t>DATA:</t>
  </si>
  <si>
    <t>HORA:</t>
  </si>
  <si>
    <t>PLM</t>
  </si>
  <si>
    <t>P/N</t>
  </si>
  <si>
    <t>DESCRICAO</t>
  </si>
  <si>
    <t>ZA_LOTE</t>
  </si>
  <si>
    <t>B2_LOCALIZ</t>
  </si>
  <si>
    <t>QTD PAGA</t>
  </si>
  <si>
    <t>CONFERÊNCIA DOUBLE CHECK PTH</t>
  </si>
  <si>
    <t>Uso Somente para conferencia da OP</t>
  </si>
  <si>
    <t>CONFERÊNCIA PRÉ-FORMA</t>
  </si>
  <si>
    <t>CONFERÊNCIA PRODUÇÃO</t>
  </si>
  <si>
    <t>P/N Componente</t>
  </si>
  <si>
    <t>Descrição</t>
  </si>
  <si>
    <t>Quantidade usada</t>
  </si>
  <si>
    <t>Contagem</t>
  </si>
  <si>
    <t>Data</t>
  </si>
  <si>
    <t>Hora</t>
  </si>
  <si>
    <t>Operador</t>
  </si>
  <si>
    <t xml:space="preserve">Operador </t>
  </si>
  <si>
    <t>:</t>
  </si>
  <si>
    <t>FM-494 – 14/08/2018</t>
  </si>
  <si>
    <t xml:space="preserve">ORDEM DE PRODUÇÃO </t>
  </si>
  <si>
    <t>CLIENTE</t>
  </si>
  <si>
    <t xml:space="preserve">CÓDIGO DO PRODUTO </t>
  </si>
  <si>
    <t>OP</t>
  </si>
  <si>
    <t>QUANTIDADE</t>
  </si>
  <si>
    <t>STATUS</t>
  </si>
  <si>
    <t>Liberado para produção</t>
  </si>
  <si>
    <t>PAGINA 1</t>
  </si>
  <si>
    <t>PAGINA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</si>
</sst>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3">
    <font>
      <sz val="10"/>
      <name val="Arial"/>
      <family val="2"/>
    </font>
    <font>
      <sz val="12"/>
      <name val="Arial"/>
      <family val="2"/>
    </font>
    <font>
      <b/>
      <sz val="2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sz val="11"/>
      <name val="Arial"/>
      <family val="2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35"/>
      <name val="Calibri"/>
      <family val="2"/>
    </font>
    <font>
      <sz val="35"/>
      <name val="Calibri"/>
      <family val="2"/>
    </font>
    <font>
      <sz val="11"/>
      <name val="Calibri"/>
      <family val="2"/>
      <scheme val="minor"/>
    </font>
    <font>
      <sz val="11"/>
      <color rgb="FF0070C0"/>
      <name val="Liberation Sans"/>
    </font>
  </fonts>
  <fills count="9">
    <fill>
      <patternFill patternType="none"/>
    </fill>
    <fill>
      <patternFill patternType="gray125"/>
    </fill>
    <fill>
      <patternFill patternType="solid">
        <fgColor indexed="26"/>
        <bgColor indexed="9"/>
      </patternFill>
    </fill>
    <fill>
      <patternFill patternType="solid">
        <fgColor theme="0" tint="-4.9989318521683403E-2"/>
        <bgColor theme="4"/>
      </patternFill>
    </fill>
    <fill>
      <patternFill patternType="solid">
        <fgColor rgb="FF2DB6BD"/>
        <bgColor indexed="64"/>
      </patternFill>
    </fill>
    <fill>
      <patternFill patternType="solid">
        <fgColor rgb="FF3AABCE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/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0" fillId="0" borderId="1" xfId="0" applyBorder="1"/>
    <xf numFmtId="0" fontId="3" fillId="0" borderId="0" xfId="0" applyFont="1" applyAlignment="1">
      <alignment horizontal="center" vertical="center"/>
    </xf>
    <xf numFmtId="0" fontId="4" fillId="0" borderId="3" xfId="0" applyFont="1" applyBorder="1" applyAlignment="1">
      <alignment horizontal="left" vertical="center" wrapText="1"/>
    </xf>
    <xf numFmtId="0" fontId="4" fillId="0" borderId="0" xfId="0" applyFont="1" applyAlignment="1">
      <alignment horizontal="center" vertical="center"/>
    </xf>
    <xf numFmtId="0" fontId="3" fillId="0" borderId="3" xfId="0" applyFont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/>
    </xf>
    <xf numFmtId="0" fontId="6" fillId="0" borderId="3" xfId="0" applyFont="1" applyBorder="1" applyAlignment="1">
      <alignment horizontal="center"/>
    </xf>
    <xf numFmtId="0" fontId="6" fillId="2" borderId="3" xfId="0" applyFont="1" applyFill="1" applyBorder="1" applyAlignment="1">
      <alignment horizontal="center" wrapText="1"/>
    </xf>
    <xf numFmtId="16" fontId="4" fillId="0" borderId="3" xfId="0" applyNumberFormat="1" applyFont="1" applyBorder="1" applyAlignment="1">
      <alignment horizontal="center" vertical="center"/>
    </xf>
    <xf numFmtId="164" fontId="4" fillId="0" borderId="3" xfId="0" applyNumberFormat="1" applyFont="1" applyBorder="1" applyAlignment="1">
      <alignment horizontal="center" vertical="center"/>
    </xf>
    <xf numFmtId="0" fontId="8" fillId="0" borderId="6" xfId="0" applyFont="1" applyBorder="1" applyAlignment="1">
      <alignment horizontal="left"/>
    </xf>
    <xf numFmtId="0" fontId="8" fillId="3" borderId="9" xfId="0" applyFont="1" applyFill="1" applyBorder="1" applyAlignment="1">
      <alignment horizont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0" fillId="5" borderId="0" xfId="0" applyFill="1"/>
    <xf numFmtId="0" fontId="11" fillId="7" borderId="6" xfId="0" applyFont="1" applyFill="1" applyBorder="1" applyAlignment="1">
      <alignment horizontal="center"/>
    </xf>
    <xf numFmtId="0" fontId="11" fillId="0" borderId="6" xfId="0" applyFont="1" applyBorder="1" applyAlignment="1">
      <alignment horizontal="center"/>
    </xf>
    <xf numFmtId="0" fontId="3" fillId="8" borderId="15" xfId="0" applyFont="1" applyFill="1" applyBorder="1" applyAlignment="1">
      <alignment horizontal="center" vertical="center" textRotation="90"/>
    </xf>
    <xf numFmtId="0" fontId="0" fillId="8" borderId="16" xfId="0" applyFill="1" applyBorder="1" applyAlignment="1">
      <alignment horizontal="center"/>
    </xf>
    <xf numFmtId="0" fontId="3" fillId="4" borderId="11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 textRotation="90"/>
    </xf>
    <xf numFmtId="0" fontId="3" fillId="4" borderId="0" xfId="0" applyFont="1" applyFill="1" applyAlignment="1">
      <alignment horizontal="center" vertical="center"/>
    </xf>
    <xf numFmtId="0" fontId="8" fillId="4" borderId="7" xfId="0" applyFont="1" applyFill="1" applyBorder="1" applyAlignment="1">
      <alignment horizontal="center" vertical="center"/>
    </xf>
    <xf numFmtId="0" fontId="7" fillId="6" borderId="12" xfId="0" applyFont="1" applyFill="1" applyBorder="1" applyAlignment="1">
      <alignment horizontal="center"/>
    </xf>
    <xf numFmtId="0" fontId="7" fillId="6" borderId="10" xfId="0" applyFont="1" applyFill="1" applyBorder="1" applyAlignment="1">
      <alignment horizontal="center"/>
    </xf>
    <xf numFmtId="0" fontId="7" fillId="6" borderId="8" xfId="0" applyFont="1" applyFill="1" applyBorder="1" applyAlignment="1">
      <alignment horizontal="center"/>
    </xf>
    <xf numFmtId="16" fontId="7" fillId="6" borderId="12" xfId="0" applyNumberFormat="1" applyFont="1" applyFill="1" applyBorder="1" applyAlignment="1">
      <alignment horizontal="center"/>
    </xf>
    <xf numFmtId="16" fontId="7" fillId="6" borderId="10" xfId="0" applyNumberFormat="1" applyFont="1" applyFill="1" applyBorder="1" applyAlignment="1">
      <alignment horizontal="center"/>
    </xf>
    <xf numFmtId="16" fontId="7" fillId="6" borderId="8" xfId="0" applyNumberFormat="1" applyFont="1" applyFill="1" applyBorder="1" applyAlignment="1">
      <alignment horizontal="center"/>
    </xf>
    <xf numFmtId="164" fontId="7" fillId="6" borderId="12" xfId="0" applyNumberFormat="1" applyFont="1" applyFill="1" applyBorder="1" applyAlignment="1">
      <alignment horizontal="center"/>
    </xf>
    <xf numFmtId="164" fontId="7" fillId="6" borderId="10" xfId="0" applyNumberFormat="1" applyFont="1" applyFill="1" applyBorder="1" applyAlignment="1">
      <alignment horizontal="center"/>
    </xf>
    <xf numFmtId="164" fontId="7" fillId="6" borderId="8" xfId="0" applyNumberFormat="1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 vertical="center" wrapText="1"/>
    </xf>
    <xf numFmtId="0" fontId="4" fillId="2" borderId="4" xfId="0" applyFont="1" applyFill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4" fillId="0" borderId="3" xfId="0" applyFont="1" applyBorder="1" applyAlignment="1">
      <alignment horizontal="left" vertical="center" wrapText="1"/>
    </xf>
    <xf numFmtId="0" fontId="4" fillId="0" borderId="3" xfId="0" applyFont="1" applyBorder="1" applyAlignment="1">
      <alignment horizontal="left" vertical="center"/>
    </xf>
    <xf numFmtId="0" fontId="3" fillId="2" borderId="3" xfId="0" applyFont="1" applyFill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12" fillId="7" borderId="6" xfId="0" applyFont="1" applyFill="1" applyBorder="1"/>
    <xf numFmtId="0" fontId="12" fillId="0" borderId="6" xfId="0" applyFont="1" applyBorder="1"/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;;;"/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2DB6BD"/>
      <color rgb="FF3AAB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238125</xdr:colOff>
      <xdr:row>1</xdr:row>
      <xdr:rowOff>9525</xdr:rowOff>
    </xdr:from>
    <xdr:to>
      <xdr:col>9</xdr:col>
      <xdr:colOff>2133600</xdr:colOff>
      <xdr:row>3</xdr:row>
      <xdr:rowOff>133350</xdr:rowOff>
    </xdr:to>
    <xdr:sp macro="[0]!ImprimeDoubleChe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72509BE5-93A7-45FE-8023-442E03AF5A04}"/>
            </a:ext>
          </a:extLst>
        </xdr:cNvPr>
        <xdr:cNvSpPr/>
      </xdr:nvSpPr>
      <xdr:spPr>
        <a:xfrm>
          <a:off x="4667250" y="304800"/>
          <a:ext cx="1895475" cy="52387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Ctrl</a:t>
          </a:r>
          <a:r>
            <a:rPr lang="pt-BR" sz="1200" b="1" baseline="0">
              <a:solidFill>
                <a:sysClr val="windowText" lastClr="000000"/>
              </a:solidFill>
            </a:rPr>
            <a:t> + Shift + D</a:t>
          </a:r>
        </a:p>
        <a:p>
          <a:pPr algn="ctr"/>
          <a:r>
            <a:rPr lang="pt-BR" sz="1200" b="1" baseline="0">
              <a:solidFill>
                <a:sysClr val="windowText" lastClr="000000"/>
              </a:solidFill>
            </a:rPr>
            <a:t>IMPRIMIR DOUBLECHECK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228600</xdr:colOff>
      <xdr:row>4</xdr:row>
      <xdr:rowOff>47625</xdr:rowOff>
    </xdr:from>
    <xdr:to>
      <xdr:col>9</xdr:col>
      <xdr:colOff>2124075</xdr:colOff>
      <xdr:row>7</xdr:row>
      <xdr:rowOff>0</xdr:rowOff>
    </xdr:to>
    <xdr:sp macro="[0]!Módulo1.ImprimeMascara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EF8C177D-6BA0-4A01-A48C-F283D7DD6EF7}"/>
            </a:ext>
          </a:extLst>
        </xdr:cNvPr>
        <xdr:cNvSpPr/>
      </xdr:nvSpPr>
      <xdr:spPr>
        <a:xfrm>
          <a:off x="4657725" y="933450"/>
          <a:ext cx="1895475" cy="52387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Ctrl</a:t>
          </a:r>
          <a:r>
            <a:rPr lang="pt-BR" sz="1200" b="1" baseline="0">
              <a:solidFill>
                <a:sysClr val="windowText" lastClr="000000"/>
              </a:solidFill>
            </a:rPr>
            <a:t> + Shift + M</a:t>
          </a:r>
        </a:p>
        <a:p>
          <a:pPr algn="ctr"/>
          <a:r>
            <a:rPr lang="pt-BR" sz="1200" b="1" baseline="0">
              <a:solidFill>
                <a:sysClr val="windowText" lastClr="000000"/>
              </a:solidFill>
            </a:rPr>
            <a:t>IMPRIMIR MASCARA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19050</xdr:rowOff>
    </xdr:from>
    <xdr:to>
      <xdr:col>1</xdr:col>
      <xdr:colOff>1685925</xdr:colOff>
      <xdr:row>0</xdr:row>
      <xdr:rowOff>704850</xdr:rowOff>
    </xdr:to>
    <xdr:pic>
      <xdr:nvPicPr>
        <xdr:cNvPr id="1739" name="Logo_Constanta">
          <a:extLst>
            <a:ext uri="{FF2B5EF4-FFF2-40B4-BE49-F238E27FC236}">
              <a16:creationId xmlns:a16="http://schemas.microsoft.com/office/drawing/2014/main" id="{00000000-0008-0000-0100-0000C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19050"/>
          <a:ext cx="1638300" cy="6858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4</xdr:col>
      <xdr:colOff>66675</xdr:colOff>
      <xdr:row>4</xdr:row>
      <xdr:rowOff>104775</xdr:rowOff>
    </xdr:from>
    <xdr:to>
      <xdr:col>4</xdr:col>
      <xdr:colOff>333375</xdr:colOff>
      <xdr:row>4</xdr:row>
      <xdr:rowOff>266700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4</xdr:row>
      <xdr:rowOff>104775</xdr:rowOff>
    </xdr:from>
    <xdr:to>
      <xdr:col>5</xdr:col>
      <xdr:colOff>523875</xdr:colOff>
      <xdr:row>4</xdr:row>
      <xdr:rowOff>266700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4</xdr:row>
      <xdr:rowOff>57150</xdr:rowOff>
    </xdr:from>
    <xdr:to>
      <xdr:col>5</xdr:col>
      <xdr:colOff>76200</xdr:colOff>
      <xdr:row>4</xdr:row>
      <xdr:rowOff>276225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4</xdr:row>
      <xdr:rowOff>38100</xdr:rowOff>
    </xdr:from>
    <xdr:to>
      <xdr:col>5</xdr:col>
      <xdr:colOff>1190625</xdr:colOff>
      <xdr:row>4</xdr:row>
      <xdr:rowOff>257175</xdr:rowOff>
    </xdr:to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5</xdr:row>
      <xdr:rowOff>104775</xdr:rowOff>
    </xdr:from>
    <xdr:to>
      <xdr:col>4</xdr:col>
      <xdr:colOff>333375</xdr:colOff>
      <xdr:row>5</xdr:row>
      <xdr:rowOff>266700</xdr:rowOff>
    </xdr:to>
    <xdr:sp macro="" textlink="">
      <xdr:nvSpPr>
        <xdr:cNvPr id="375" name="Retângulo 374">
          <a:extLst>
            <a:ext uri="{FF2B5EF4-FFF2-40B4-BE49-F238E27FC236}">
              <a16:creationId xmlns:a16="http://schemas.microsoft.com/office/drawing/2014/main" id="{00000000-0008-0000-0100-000077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5</xdr:row>
      <xdr:rowOff>104775</xdr:rowOff>
    </xdr:from>
    <xdr:to>
      <xdr:col>5</xdr:col>
      <xdr:colOff>523875</xdr:colOff>
      <xdr:row>5</xdr:row>
      <xdr:rowOff>266700</xdr:rowOff>
    </xdr:to>
    <xdr:sp macro="" textlink="">
      <xdr:nvSpPr>
        <xdr:cNvPr id="376" name="Retângulo 375">
          <a:extLst>
            <a:ext uri="{FF2B5EF4-FFF2-40B4-BE49-F238E27FC236}">
              <a16:creationId xmlns:a16="http://schemas.microsoft.com/office/drawing/2014/main" id="{00000000-0008-0000-0100-000078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5</xdr:row>
      <xdr:rowOff>57150</xdr:rowOff>
    </xdr:from>
    <xdr:to>
      <xdr:col>5</xdr:col>
      <xdr:colOff>76200</xdr:colOff>
      <xdr:row>5</xdr:row>
      <xdr:rowOff>276225</xdr:rowOff>
    </xdr:to>
    <xdr:sp macro="" textlink="">
      <xdr:nvSpPr>
        <xdr:cNvPr id="377" name="CaixaDeTexto 376">
          <a:extLst>
            <a:ext uri="{FF2B5EF4-FFF2-40B4-BE49-F238E27FC236}">
              <a16:creationId xmlns:a16="http://schemas.microsoft.com/office/drawing/2014/main" id="{00000000-0008-0000-0100-000079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5</xdr:row>
      <xdr:rowOff>38100</xdr:rowOff>
    </xdr:from>
    <xdr:to>
      <xdr:col>5</xdr:col>
      <xdr:colOff>1190625</xdr:colOff>
      <xdr:row>5</xdr:row>
      <xdr:rowOff>257175</xdr:rowOff>
    </xdr:to>
    <xdr:sp macro="" textlink="">
      <xdr:nvSpPr>
        <xdr:cNvPr id="378" name="CaixaDeTexto 377">
          <a:extLst>
            <a:ext uri="{FF2B5EF4-FFF2-40B4-BE49-F238E27FC236}">
              <a16:creationId xmlns:a16="http://schemas.microsoft.com/office/drawing/2014/main" id="{00000000-0008-0000-0100-00007A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6</xdr:row>
      <xdr:rowOff>104775</xdr:rowOff>
    </xdr:from>
    <xdr:to>
      <xdr:col>4</xdr:col>
      <xdr:colOff>333375</xdr:colOff>
      <xdr:row>6</xdr:row>
      <xdr:rowOff>266700</xdr:rowOff>
    </xdr:to>
    <xdr:sp macro="" textlink="">
      <xdr:nvSpPr>
        <xdr:cNvPr id="379" name="Retângulo 378">
          <a:extLst>
            <a:ext uri="{FF2B5EF4-FFF2-40B4-BE49-F238E27FC236}">
              <a16:creationId xmlns:a16="http://schemas.microsoft.com/office/drawing/2014/main" id="{00000000-0008-0000-0100-00007B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6</xdr:row>
      <xdr:rowOff>104775</xdr:rowOff>
    </xdr:from>
    <xdr:to>
      <xdr:col>5</xdr:col>
      <xdr:colOff>523875</xdr:colOff>
      <xdr:row>6</xdr:row>
      <xdr:rowOff>266700</xdr:rowOff>
    </xdr:to>
    <xdr:sp macro="" textlink="">
      <xdr:nvSpPr>
        <xdr:cNvPr id="380" name="Retângulo 379">
          <a:extLst>
            <a:ext uri="{FF2B5EF4-FFF2-40B4-BE49-F238E27FC236}">
              <a16:creationId xmlns:a16="http://schemas.microsoft.com/office/drawing/2014/main" id="{00000000-0008-0000-0100-00007C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6</xdr:row>
      <xdr:rowOff>57150</xdr:rowOff>
    </xdr:from>
    <xdr:to>
      <xdr:col>5</xdr:col>
      <xdr:colOff>76200</xdr:colOff>
      <xdr:row>6</xdr:row>
      <xdr:rowOff>276225</xdr:rowOff>
    </xdr:to>
    <xdr:sp macro="" textlink="">
      <xdr:nvSpPr>
        <xdr:cNvPr id="381" name="CaixaDeTexto 380">
          <a:extLst>
            <a:ext uri="{FF2B5EF4-FFF2-40B4-BE49-F238E27FC236}">
              <a16:creationId xmlns:a16="http://schemas.microsoft.com/office/drawing/2014/main" id="{00000000-0008-0000-0100-00007D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6</xdr:row>
      <xdr:rowOff>38100</xdr:rowOff>
    </xdr:from>
    <xdr:to>
      <xdr:col>5</xdr:col>
      <xdr:colOff>1190625</xdr:colOff>
      <xdr:row>6</xdr:row>
      <xdr:rowOff>257175</xdr:rowOff>
    </xdr:to>
    <xdr:sp macro="" textlink="">
      <xdr:nvSpPr>
        <xdr:cNvPr id="382" name="CaixaDeTexto 381">
          <a:extLst>
            <a:ext uri="{FF2B5EF4-FFF2-40B4-BE49-F238E27FC236}">
              <a16:creationId xmlns:a16="http://schemas.microsoft.com/office/drawing/2014/main" id="{00000000-0008-0000-0100-00007E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7</xdr:row>
      <xdr:rowOff>104775</xdr:rowOff>
    </xdr:from>
    <xdr:to>
      <xdr:col>4</xdr:col>
      <xdr:colOff>333375</xdr:colOff>
      <xdr:row>7</xdr:row>
      <xdr:rowOff>266700</xdr:rowOff>
    </xdr:to>
    <xdr:sp macro="" textlink="">
      <xdr:nvSpPr>
        <xdr:cNvPr id="383" name="Retângulo 382">
          <a:extLst>
            <a:ext uri="{FF2B5EF4-FFF2-40B4-BE49-F238E27FC236}">
              <a16:creationId xmlns:a16="http://schemas.microsoft.com/office/drawing/2014/main" id="{00000000-0008-0000-0100-00007F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7</xdr:row>
      <xdr:rowOff>104775</xdr:rowOff>
    </xdr:from>
    <xdr:to>
      <xdr:col>5</xdr:col>
      <xdr:colOff>523875</xdr:colOff>
      <xdr:row>7</xdr:row>
      <xdr:rowOff>266700</xdr:rowOff>
    </xdr:to>
    <xdr:sp macro="" textlink="">
      <xdr:nvSpPr>
        <xdr:cNvPr id="384" name="Retângulo 383">
          <a:extLst>
            <a:ext uri="{FF2B5EF4-FFF2-40B4-BE49-F238E27FC236}">
              <a16:creationId xmlns:a16="http://schemas.microsoft.com/office/drawing/2014/main" id="{00000000-0008-0000-0100-000080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7</xdr:row>
      <xdr:rowOff>57150</xdr:rowOff>
    </xdr:from>
    <xdr:to>
      <xdr:col>5</xdr:col>
      <xdr:colOff>76200</xdr:colOff>
      <xdr:row>7</xdr:row>
      <xdr:rowOff>276225</xdr:rowOff>
    </xdr:to>
    <xdr:sp macro="" textlink="">
      <xdr:nvSpPr>
        <xdr:cNvPr id="385" name="CaixaDeTexto 384">
          <a:extLst>
            <a:ext uri="{FF2B5EF4-FFF2-40B4-BE49-F238E27FC236}">
              <a16:creationId xmlns:a16="http://schemas.microsoft.com/office/drawing/2014/main" id="{00000000-0008-0000-0100-000081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7</xdr:row>
      <xdr:rowOff>38100</xdr:rowOff>
    </xdr:from>
    <xdr:to>
      <xdr:col>5</xdr:col>
      <xdr:colOff>1190625</xdr:colOff>
      <xdr:row>7</xdr:row>
      <xdr:rowOff>257175</xdr:rowOff>
    </xdr:to>
    <xdr:sp macro="" textlink="">
      <xdr:nvSpPr>
        <xdr:cNvPr id="386" name="CaixaDeTexto 385">
          <a:extLst>
            <a:ext uri="{FF2B5EF4-FFF2-40B4-BE49-F238E27FC236}">
              <a16:creationId xmlns:a16="http://schemas.microsoft.com/office/drawing/2014/main" id="{00000000-0008-0000-0100-000082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8</xdr:row>
      <xdr:rowOff>104775</xdr:rowOff>
    </xdr:from>
    <xdr:to>
      <xdr:col>4</xdr:col>
      <xdr:colOff>333375</xdr:colOff>
      <xdr:row>8</xdr:row>
      <xdr:rowOff>266700</xdr:rowOff>
    </xdr:to>
    <xdr:sp macro="" textlink="">
      <xdr:nvSpPr>
        <xdr:cNvPr id="387" name="Retângulo 386">
          <a:extLst>
            <a:ext uri="{FF2B5EF4-FFF2-40B4-BE49-F238E27FC236}">
              <a16:creationId xmlns:a16="http://schemas.microsoft.com/office/drawing/2014/main" id="{00000000-0008-0000-0100-000083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8</xdr:row>
      <xdr:rowOff>104775</xdr:rowOff>
    </xdr:from>
    <xdr:to>
      <xdr:col>5</xdr:col>
      <xdr:colOff>523875</xdr:colOff>
      <xdr:row>8</xdr:row>
      <xdr:rowOff>266700</xdr:rowOff>
    </xdr:to>
    <xdr:sp macro="" textlink="">
      <xdr:nvSpPr>
        <xdr:cNvPr id="388" name="Retângulo 387">
          <a:extLst>
            <a:ext uri="{FF2B5EF4-FFF2-40B4-BE49-F238E27FC236}">
              <a16:creationId xmlns:a16="http://schemas.microsoft.com/office/drawing/2014/main" id="{00000000-0008-0000-0100-000084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8</xdr:row>
      <xdr:rowOff>57150</xdr:rowOff>
    </xdr:from>
    <xdr:to>
      <xdr:col>5</xdr:col>
      <xdr:colOff>76200</xdr:colOff>
      <xdr:row>8</xdr:row>
      <xdr:rowOff>276225</xdr:rowOff>
    </xdr:to>
    <xdr:sp macro="" textlink="">
      <xdr:nvSpPr>
        <xdr:cNvPr id="389" name="CaixaDeTexto 388">
          <a:extLst>
            <a:ext uri="{FF2B5EF4-FFF2-40B4-BE49-F238E27FC236}">
              <a16:creationId xmlns:a16="http://schemas.microsoft.com/office/drawing/2014/main" id="{00000000-0008-0000-0100-000085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8</xdr:row>
      <xdr:rowOff>38100</xdr:rowOff>
    </xdr:from>
    <xdr:to>
      <xdr:col>5</xdr:col>
      <xdr:colOff>1190625</xdr:colOff>
      <xdr:row>8</xdr:row>
      <xdr:rowOff>257175</xdr:rowOff>
    </xdr:to>
    <xdr:sp macro="" textlink="">
      <xdr:nvSpPr>
        <xdr:cNvPr id="390" name="CaixaDeTexto 389">
          <a:extLst>
            <a:ext uri="{FF2B5EF4-FFF2-40B4-BE49-F238E27FC236}">
              <a16:creationId xmlns:a16="http://schemas.microsoft.com/office/drawing/2014/main" id="{00000000-0008-0000-0100-000086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9</xdr:row>
      <xdr:rowOff>104775</xdr:rowOff>
    </xdr:from>
    <xdr:to>
      <xdr:col>4</xdr:col>
      <xdr:colOff>333375</xdr:colOff>
      <xdr:row>9</xdr:row>
      <xdr:rowOff>266700</xdr:rowOff>
    </xdr:to>
    <xdr:sp macro="" textlink="">
      <xdr:nvSpPr>
        <xdr:cNvPr id="391" name="Retângulo 390">
          <a:extLst>
            <a:ext uri="{FF2B5EF4-FFF2-40B4-BE49-F238E27FC236}">
              <a16:creationId xmlns:a16="http://schemas.microsoft.com/office/drawing/2014/main" id="{00000000-0008-0000-0100-000087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9</xdr:row>
      <xdr:rowOff>104775</xdr:rowOff>
    </xdr:from>
    <xdr:to>
      <xdr:col>5</xdr:col>
      <xdr:colOff>523875</xdr:colOff>
      <xdr:row>9</xdr:row>
      <xdr:rowOff>266700</xdr:rowOff>
    </xdr:to>
    <xdr:sp macro="" textlink="">
      <xdr:nvSpPr>
        <xdr:cNvPr id="392" name="Retângulo 391">
          <a:extLst>
            <a:ext uri="{FF2B5EF4-FFF2-40B4-BE49-F238E27FC236}">
              <a16:creationId xmlns:a16="http://schemas.microsoft.com/office/drawing/2014/main" id="{00000000-0008-0000-0100-000088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9</xdr:row>
      <xdr:rowOff>57150</xdr:rowOff>
    </xdr:from>
    <xdr:to>
      <xdr:col>5</xdr:col>
      <xdr:colOff>76200</xdr:colOff>
      <xdr:row>9</xdr:row>
      <xdr:rowOff>276225</xdr:rowOff>
    </xdr:to>
    <xdr:sp macro="" textlink="">
      <xdr:nvSpPr>
        <xdr:cNvPr id="393" name="CaixaDeTexto 392">
          <a:extLst>
            <a:ext uri="{FF2B5EF4-FFF2-40B4-BE49-F238E27FC236}">
              <a16:creationId xmlns:a16="http://schemas.microsoft.com/office/drawing/2014/main" id="{00000000-0008-0000-0100-000089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9</xdr:row>
      <xdr:rowOff>38100</xdr:rowOff>
    </xdr:from>
    <xdr:to>
      <xdr:col>5</xdr:col>
      <xdr:colOff>1190625</xdr:colOff>
      <xdr:row>9</xdr:row>
      <xdr:rowOff>257175</xdr:rowOff>
    </xdr:to>
    <xdr:sp macro="" textlink="">
      <xdr:nvSpPr>
        <xdr:cNvPr id="394" name="CaixaDeTexto 393">
          <a:extLst>
            <a:ext uri="{FF2B5EF4-FFF2-40B4-BE49-F238E27FC236}">
              <a16:creationId xmlns:a16="http://schemas.microsoft.com/office/drawing/2014/main" id="{00000000-0008-0000-0100-00008A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10</xdr:row>
      <xdr:rowOff>104775</xdr:rowOff>
    </xdr:from>
    <xdr:to>
      <xdr:col>4</xdr:col>
      <xdr:colOff>333375</xdr:colOff>
      <xdr:row>10</xdr:row>
      <xdr:rowOff>266700</xdr:rowOff>
    </xdr:to>
    <xdr:sp macro="" textlink="">
      <xdr:nvSpPr>
        <xdr:cNvPr id="395" name="Retângulo 394">
          <a:extLst>
            <a:ext uri="{FF2B5EF4-FFF2-40B4-BE49-F238E27FC236}">
              <a16:creationId xmlns:a16="http://schemas.microsoft.com/office/drawing/2014/main" id="{00000000-0008-0000-0100-00008B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10</xdr:row>
      <xdr:rowOff>104775</xdr:rowOff>
    </xdr:from>
    <xdr:to>
      <xdr:col>5</xdr:col>
      <xdr:colOff>523875</xdr:colOff>
      <xdr:row>10</xdr:row>
      <xdr:rowOff>266700</xdr:rowOff>
    </xdr:to>
    <xdr:sp macro="" textlink="">
      <xdr:nvSpPr>
        <xdr:cNvPr id="396" name="Retângulo 395">
          <a:extLst>
            <a:ext uri="{FF2B5EF4-FFF2-40B4-BE49-F238E27FC236}">
              <a16:creationId xmlns:a16="http://schemas.microsoft.com/office/drawing/2014/main" id="{00000000-0008-0000-0100-00008C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10</xdr:row>
      <xdr:rowOff>57150</xdr:rowOff>
    </xdr:from>
    <xdr:to>
      <xdr:col>5</xdr:col>
      <xdr:colOff>76200</xdr:colOff>
      <xdr:row>10</xdr:row>
      <xdr:rowOff>276225</xdr:rowOff>
    </xdr:to>
    <xdr:sp macro="" textlink="">
      <xdr:nvSpPr>
        <xdr:cNvPr id="397" name="CaixaDeTexto 396">
          <a:extLst>
            <a:ext uri="{FF2B5EF4-FFF2-40B4-BE49-F238E27FC236}">
              <a16:creationId xmlns:a16="http://schemas.microsoft.com/office/drawing/2014/main" id="{00000000-0008-0000-0100-00008D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10</xdr:row>
      <xdr:rowOff>38100</xdr:rowOff>
    </xdr:from>
    <xdr:to>
      <xdr:col>5</xdr:col>
      <xdr:colOff>1190625</xdr:colOff>
      <xdr:row>10</xdr:row>
      <xdr:rowOff>257175</xdr:rowOff>
    </xdr:to>
    <xdr:sp macro="" textlink="">
      <xdr:nvSpPr>
        <xdr:cNvPr id="398" name="CaixaDeTexto 397">
          <a:extLst>
            <a:ext uri="{FF2B5EF4-FFF2-40B4-BE49-F238E27FC236}">
              <a16:creationId xmlns:a16="http://schemas.microsoft.com/office/drawing/2014/main" id="{00000000-0008-0000-0100-00008E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11</xdr:row>
      <xdr:rowOff>104775</xdr:rowOff>
    </xdr:from>
    <xdr:to>
      <xdr:col>4</xdr:col>
      <xdr:colOff>333375</xdr:colOff>
      <xdr:row>11</xdr:row>
      <xdr:rowOff>266700</xdr:rowOff>
    </xdr:to>
    <xdr:sp macro="" textlink="">
      <xdr:nvSpPr>
        <xdr:cNvPr id="399" name="Retângulo 398">
          <a:extLst>
            <a:ext uri="{FF2B5EF4-FFF2-40B4-BE49-F238E27FC236}">
              <a16:creationId xmlns:a16="http://schemas.microsoft.com/office/drawing/2014/main" id="{00000000-0008-0000-0100-00008F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11</xdr:row>
      <xdr:rowOff>104775</xdr:rowOff>
    </xdr:from>
    <xdr:to>
      <xdr:col>5</xdr:col>
      <xdr:colOff>523875</xdr:colOff>
      <xdr:row>11</xdr:row>
      <xdr:rowOff>266700</xdr:rowOff>
    </xdr:to>
    <xdr:sp macro="" textlink="">
      <xdr:nvSpPr>
        <xdr:cNvPr id="400" name="Retângulo 399">
          <a:extLst>
            <a:ext uri="{FF2B5EF4-FFF2-40B4-BE49-F238E27FC236}">
              <a16:creationId xmlns:a16="http://schemas.microsoft.com/office/drawing/2014/main" id="{00000000-0008-0000-0100-000090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11</xdr:row>
      <xdr:rowOff>57150</xdr:rowOff>
    </xdr:from>
    <xdr:to>
      <xdr:col>5</xdr:col>
      <xdr:colOff>76200</xdr:colOff>
      <xdr:row>11</xdr:row>
      <xdr:rowOff>276225</xdr:rowOff>
    </xdr:to>
    <xdr:sp macro="" textlink="">
      <xdr:nvSpPr>
        <xdr:cNvPr id="401" name="CaixaDeTexto 400">
          <a:extLst>
            <a:ext uri="{FF2B5EF4-FFF2-40B4-BE49-F238E27FC236}">
              <a16:creationId xmlns:a16="http://schemas.microsoft.com/office/drawing/2014/main" id="{00000000-0008-0000-0100-000091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11</xdr:row>
      <xdr:rowOff>38100</xdr:rowOff>
    </xdr:from>
    <xdr:to>
      <xdr:col>5</xdr:col>
      <xdr:colOff>1190625</xdr:colOff>
      <xdr:row>11</xdr:row>
      <xdr:rowOff>257175</xdr:rowOff>
    </xdr:to>
    <xdr:sp macro="" textlink="">
      <xdr:nvSpPr>
        <xdr:cNvPr id="402" name="CaixaDeTexto 401">
          <a:extLst>
            <a:ext uri="{FF2B5EF4-FFF2-40B4-BE49-F238E27FC236}">
              <a16:creationId xmlns:a16="http://schemas.microsoft.com/office/drawing/2014/main" id="{00000000-0008-0000-0100-000092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12</xdr:row>
      <xdr:rowOff>104775</xdr:rowOff>
    </xdr:from>
    <xdr:to>
      <xdr:col>4</xdr:col>
      <xdr:colOff>333375</xdr:colOff>
      <xdr:row>12</xdr:row>
      <xdr:rowOff>266700</xdr:rowOff>
    </xdr:to>
    <xdr:sp macro="" textlink="">
      <xdr:nvSpPr>
        <xdr:cNvPr id="403" name="Retângulo 402">
          <a:extLst>
            <a:ext uri="{FF2B5EF4-FFF2-40B4-BE49-F238E27FC236}">
              <a16:creationId xmlns:a16="http://schemas.microsoft.com/office/drawing/2014/main" id="{00000000-0008-0000-0100-000093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12</xdr:row>
      <xdr:rowOff>104775</xdr:rowOff>
    </xdr:from>
    <xdr:to>
      <xdr:col>5</xdr:col>
      <xdr:colOff>523875</xdr:colOff>
      <xdr:row>12</xdr:row>
      <xdr:rowOff>266700</xdr:rowOff>
    </xdr:to>
    <xdr:sp macro="" textlink="">
      <xdr:nvSpPr>
        <xdr:cNvPr id="404" name="Retângulo 403">
          <a:extLst>
            <a:ext uri="{FF2B5EF4-FFF2-40B4-BE49-F238E27FC236}">
              <a16:creationId xmlns:a16="http://schemas.microsoft.com/office/drawing/2014/main" id="{00000000-0008-0000-0100-000094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12</xdr:row>
      <xdr:rowOff>57150</xdr:rowOff>
    </xdr:from>
    <xdr:to>
      <xdr:col>5</xdr:col>
      <xdr:colOff>76200</xdr:colOff>
      <xdr:row>12</xdr:row>
      <xdr:rowOff>276225</xdr:rowOff>
    </xdr:to>
    <xdr:sp macro="" textlink="">
      <xdr:nvSpPr>
        <xdr:cNvPr id="405" name="CaixaDeTexto 404">
          <a:extLst>
            <a:ext uri="{FF2B5EF4-FFF2-40B4-BE49-F238E27FC236}">
              <a16:creationId xmlns:a16="http://schemas.microsoft.com/office/drawing/2014/main" id="{00000000-0008-0000-0100-000095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12</xdr:row>
      <xdr:rowOff>38100</xdr:rowOff>
    </xdr:from>
    <xdr:to>
      <xdr:col>5</xdr:col>
      <xdr:colOff>1190625</xdr:colOff>
      <xdr:row>12</xdr:row>
      <xdr:rowOff>257175</xdr:rowOff>
    </xdr:to>
    <xdr:sp macro="" textlink="">
      <xdr:nvSpPr>
        <xdr:cNvPr id="406" name="CaixaDeTexto 405">
          <a:extLst>
            <a:ext uri="{FF2B5EF4-FFF2-40B4-BE49-F238E27FC236}">
              <a16:creationId xmlns:a16="http://schemas.microsoft.com/office/drawing/2014/main" id="{00000000-0008-0000-0100-000096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13</xdr:row>
      <xdr:rowOff>104775</xdr:rowOff>
    </xdr:from>
    <xdr:to>
      <xdr:col>4</xdr:col>
      <xdr:colOff>333375</xdr:colOff>
      <xdr:row>13</xdr:row>
      <xdr:rowOff>266700</xdr:rowOff>
    </xdr:to>
    <xdr:sp macro="" textlink="">
      <xdr:nvSpPr>
        <xdr:cNvPr id="407" name="Retângulo 406">
          <a:extLst>
            <a:ext uri="{FF2B5EF4-FFF2-40B4-BE49-F238E27FC236}">
              <a16:creationId xmlns:a16="http://schemas.microsoft.com/office/drawing/2014/main" id="{00000000-0008-0000-0100-000097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13</xdr:row>
      <xdr:rowOff>104775</xdr:rowOff>
    </xdr:from>
    <xdr:to>
      <xdr:col>5</xdr:col>
      <xdr:colOff>523875</xdr:colOff>
      <xdr:row>13</xdr:row>
      <xdr:rowOff>266700</xdr:rowOff>
    </xdr:to>
    <xdr:sp macro="" textlink="">
      <xdr:nvSpPr>
        <xdr:cNvPr id="408" name="Retângulo 407">
          <a:extLst>
            <a:ext uri="{FF2B5EF4-FFF2-40B4-BE49-F238E27FC236}">
              <a16:creationId xmlns:a16="http://schemas.microsoft.com/office/drawing/2014/main" id="{00000000-0008-0000-0100-000098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13</xdr:row>
      <xdr:rowOff>57150</xdr:rowOff>
    </xdr:from>
    <xdr:to>
      <xdr:col>5</xdr:col>
      <xdr:colOff>76200</xdr:colOff>
      <xdr:row>13</xdr:row>
      <xdr:rowOff>276225</xdr:rowOff>
    </xdr:to>
    <xdr:sp macro="" textlink="">
      <xdr:nvSpPr>
        <xdr:cNvPr id="409" name="CaixaDeTexto 408">
          <a:extLst>
            <a:ext uri="{FF2B5EF4-FFF2-40B4-BE49-F238E27FC236}">
              <a16:creationId xmlns:a16="http://schemas.microsoft.com/office/drawing/2014/main" id="{00000000-0008-0000-0100-000099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13</xdr:row>
      <xdr:rowOff>38100</xdr:rowOff>
    </xdr:from>
    <xdr:to>
      <xdr:col>5</xdr:col>
      <xdr:colOff>1190625</xdr:colOff>
      <xdr:row>13</xdr:row>
      <xdr:rowOff>257175</xdr:rowOff>
    </xdr:to>
    <xdr:sp macro="" textlink="">
      <xdr:nvSpPr>
        <xdr:cNvPr id="410" name="CaixaDeTexto 409">
          <a:extLst>
            <a:ext uri="{FF2B5EF4-FFF2-40B4-BE49-F238E27FC236}">
              <a16:creationId xmlns:a16="http://schemas.microsoft.com/office/drawing/2014/main" id="{00000000-0008-0000-0100-00009A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14</xdr:row>
      <xdr:rowOff>104775</xdr:rowOff>
    </xdr:from>
    <xdr:to>
      <xdr:col>4</xdr:col>
      <xdr:colOff>333375</xdr:colOff>
      <xdr:row>14</xdr:row>
      <xdr:rowOff>266700</xdr:rowOff>
    </xdr:to>
    <xdr:sp macro="" textlink="">
      <xdr:nvSpPr>
        <xdr:cNvPr id="411" name="Retângulo 410">
          <a:extLst>
            <a:ext uri="{FF2B5EF4-FFF2-40B4-BE49-F238E27FC236}">
              <a16:creationId xmlns:a16="http://schemas.microsoft.com/office/drawing/2014/main" id="{00000000-0008-0000-0100-00009B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14</xdr:row>
      <xdr:rowOff>104775</xdr:rowOff>
    </xdr:from>
    <xdr:to>
      <xdr:col>5</xdr:col>
      <xdr:colOff>523875</xdr:colOff>
      <xdr:row>14</xdr:row>
      <xdr:rowOff>266700</xdr:rowOff>
    </xdr:to>
    <xdr:sp macro="" textlink="">
      <xdr:nvSpPr>
        <xdr:cNvPr id="412" name="Retângulo 411">
          <a:extLst>
            <a:ext uri="{FF2B5EF4-FFF2-40B4-BE49-F238E27FC236}">
              <a16:creationId xmlns:a16="http://schemas.microsoft.com/office/drawing/2014/main" id="{00000000-0008-0000-0100-00009C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14</xdr:row>
      <xdr:rowOff>57150</xdr:rowOff>
    </xdr:from>
    <xdr:to>
      <xdr:col>5</xdr:col>
      <xdr:colOff>76200</xdr:colOff>
      <xdr:row>14</xdr:row>
      <xdr:rowOff>276225</xdr:rowOff>
    </xdr:to>
    <xdr:sp macro="" textlink="">
      <xdr:nvSpPr>
        <xdr:cNvPr id="413" name="CaixaDeTexto 412">
          <a:extLst>
            <a:ext uri="{FF2B5EF4-FFF2-40B4-BE49-F238E27FC236}">
              <a16:creationId xmlns:a16="http://schemas.microsoft.com/office/drawing/2014/main" id="{00000000-0008-0000-0100-00009D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14</xdr:row>
      <xdr:rowOff>38100</xdr:rowOff>
    </xdr:from>
    <xdr:to>
      <xdr:col>5</xdr:col>
      <xdr:colOff>1190625</xdr:colOff>
      <xdr:row>14</xdr:row>
      <xdr:rowOff>257175</xdr:rowOff>
    </xdr:to>
    <xdr:sp macro="" textlink="">
      <xdr:nvSpPr>
        <xdr:cNvPr id="414" name="CaixaDeTexto 413">
          <a:extLst>
            <a:ext uri="{FF2B5EF4-FFF2-40B4-BE49-F238E27FC236}">
              <a16:creationId xmlns:a16="http://schemas.microsoft.com/office/drawing/2014/main" id="{00000000-0008-0000-0100-00009E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15</xdr:row>
      <xdr:rowOff>104775</xdr:rowOff>
    </xdr:from>
    <xdr:to>
      <xdr:col>4</xdr:col>
      <xdr:colOff>333375</xdr:colOff>
      <xdr:row>15</xdr:row>
      <xdr:rowOff>266700</xdr:rowOff>
    </xdr:to>
    <xdr:sp macro="" textlink="">
      <xdr:nvSpPr>
        <xdr:cNvPr id="415" name="Retângulo 414">
          <a:extLst>
            <a:ext uri="{FF2B5EF4-FFF2-40B4-BE49-F238E27FC236}">
              <a16:creationId xmlns:a16="http://schemas.microsoft.com/office/drawing/2014/main" id="{00000000-0008-0000-0100-00009F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15</xdr:row>
      <xdr:rowOff>104775</xdr:rowOff>
    </xdr:from>
    <xdr:to>
      <xdr:col>5</xdr:col>
      <xdr:colOff>523875</xdr:colOff>
      <xdr:row>15</xdr:row>
      <xdr:rowOff>266700</xdr:rowOff>
    </xdr:to>
    <xdr:sp macro="" textlink="">
      <xdr:nvSpPr>
        <xdr:cNvPr id="416" name="Retângulo 415">
          <a:extLst>
            <a:ext uri="{FF2B5EF4-FFF2-40B4-BE49-F238E27FC236}">
              <a16:creationId xmlns:a16="http://schemas.microsoft.com/office/drawing/2014/main" id="{00000000-0008-0000-0100-0000A0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15</xdr:row>
      <xdr:rowOff>57150</xdr:rowOff>
    </xdr:from>
    <xdr:to>
      <xdr:col>5</xdr:col>
      <xdr:colOff>76200</xdr:colOff>
      <xdr:row>15</xdr:row>
      <xdr:rowOff>276225</xdr:rowOff>
    </xdr:to>
    <xdr:sp macro="" textlink="">
      <xdr:nvSpPr>
        <xdr:cNvPr id="417" name="CaixaDeTexto 416">
          <a:extLst>
            <a:ext uri="{FF2B5EF4-FFF2-40B4-BE49-F238E27FC236}">
              <a16:creationId xmlns:a16="http://schemas.microsoft.com/office/drawing/2014/main" id="{00000000-0008-0000-0100-0000A1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15</xdr:row>
      <xdr:rowOff>38100</xdr:rowOff>
    </xdr:from>
    <xdr:to>
      <xdr:col>5</xdr:col>
      <xdr:colOff>1190625</xdr:colOff>
      <xdr:row>15</xdr:row>
      <xdr:rowOff>257175</xdr:rowOff>
    </xdr:to>
    <xdr:sp macro="" textlink="">
      <xdr:nvSpPr>
        <xdr:cNvPr id="418" name="CaixaDeTexto 417">
          <a:extLst>
            <a:ext uri="{FF2B5EF4-FFF2-40B4-BE49-F238E27FC236}">
              <a16:creationId xmlns:a16="http://schemas.microsoft.com/office/drawing/2014/main" id="{00000000-0008-0000-0100-0000A2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16</xdr:row>
      <xdr:rowOff>104775</xdr:rowOff>
    </xdr:from>
    <xdr:to>
      <xdr:col>4</xdr:col>
      <xdr:colOff>333375</xdr:colOff>
      <xdr:row>16</xdr:row>
      <xdr:rowOff>266700</xdr:rowOff>
    </xdr:to>
    <xdr:sp macro="" textlink="">
      <xdr:nvSpPr>
        <xdr:cNvPr id="419" name="Retângulo 418">
          <a:extLst>
            <a:ext uri="{FF2B5EF4-FFF2-40B4-BE49-F238E27FC236}">
              <a16:creationId xmlns:a16="http://schemas.microsoft.com/office/drawing/2014/main" id="{00000000-0008-0000-0100-0000A3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16</xdr:row>
      <xdr:rowOff>104775</xdr:rowOff>
    </xdr:from>
    <xdr:to>
      <xdr:col>5</xdr:col>
      <xdr:colOff>523875</xdr:colOff>
      <xdr:row>16</xdr:row>
      <xdr:rowOff>266700</xdr:rowOff>
    </xdr:to>
    <xdr:sp macro="" textlink="">
      <xdr:nvSpPr>
        <xdr:cNvPr id="420" name="Retângulo 419">
          <a:extLst>
            <a:ext uri="{FF2B5EF4-FFF2-40B4-BE49-F238E27FC236}">
              <a16:creationId xmlns:a16="http://schemas.microsoft.com/office/drawing/2014/main" id="{00000000-0008-0000-0100-0000A4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16</xdr:row>
      <xdr:rowOff>57150</xdr:rowOff>
    </xdr:from>
    <xdr:to>
      <xdr:col>5</xdr:col>
      <xdr:colOff>76200</xdr:colOff>
      <xdr:row>16</xdr:row>
      <xdr:rowOff>276225</xdr:rowOff>
    </xdr:to>
    <xdr:sp macro="" textlink="">
      <xdr:nvSpPr>
        <xdr:cNvPr id="421" name="CaixaDeTexto 420">
          <a:extLst>
            <a:ext uri="{FF2B5EF4-FFF2-40B4-BE49-F238E27FC236}">
              <a16:creationId xmlns:a16="http://schemas.microsoft.com/office/drawing/2014/main" id="{00000000-0008-0000-0100-0000A5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16</xdr:row>
      <xdr:rowOff>38100</xdr:rowOff>
    </xdr:from>
    <xdr:to>
      <xdr:col>5</xdr:col>
      <xdr:colOff>1190625</xdr:colOff>
      <xdr:row>16</xdr:row>
      <xdr:rowOff>257175</xdr:rowOff>
    </xdr:to>
    <xdr:sp macro="" textlink="">
      <xdr:nvSpPr>
        <xdr:cNvPr id="422" name="CaixaDeTexto 421">
          <a:extLst>
            <a:ext uri="{FF2B5EF4-FFF2-40B4-BE49-F238E27FC236}">
              <a16:creationId xmlns:a16="http://schemas.microsoft.com/office/drawing/2014/main" id="{00000000-0008-0000-0100-0000A6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17</xdr:row>
      <xdr:rowOff>104775</xdr:rowOff>
    </xdr:from>
    <xdr:to>
      <xdr:col>4</xdr:col>
      <xdr:colOff>333375</xdr:colOff>
      <xdr:row>17</xdr:row>
      <xdr:rowOff>266700</xdr:rowOff>
    </xdr:to>
    <xdr:sp macro="" textlink="">
      <xdr:nvSpPr>
        <xdr:cNvPr id="423" name="Retângulo 422">
          <a:extLst>
            <a:ext uri="{FF2B5EF4-FFF2-40B4-BE49-F238E27FC236}">
              <a16:creationId xmlns:a16="http://schemas.microsoft.com/office/drawing/2014/main" id="{00000000-0008-0000-0100-0000A7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17</xdr:row>
      <xdr:rowOff>104775</xdr:rowOff>
    </xdr:from>
    <xdr:to>
      <xdr:col>5</xdr:col>
      <xdr:colOff>523875</xdr:colOff>
      <xdr:row>17</xdr:row>
      <xdr:rowOff>266700</xdr:rowOff>
    </xdr:to>
    <xdr:sp macro="" textlink="">
      <xdr:nvSpPr>
        <xdr:cNvPr id="424" name="Retângulo 423">
          <a:extLst>
            <a:ext uri="{FF2B5EF4-FFF2-40B4-BE49-F238E27FC236}">
              <a16:creationId xmlns:a16="http://schemas.microsoft.com/office/drawing/2014/main" id="{00000000-0008-0000-0100-0000A8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17</xdr:row>
      <xdr:rowOff>57150</xdr:rowOff>
    </xdr:from>
    <xdr:to>
      <xdr:col>5</xdr:col>
      <xdr:colOff>76200</xdr:colOff>
      <xdr:row>17</xdr:row>
      <xdr:rowOff>276225</xdr:rowOff>
    </xdr:to>
    <xdr:sp macro="" textlink="">
      <xdr:nvSpPr>
        <xdr:cNvPr id="425" name="CaixaDeTexto 424">
          <a:extLst>
            <a:ext uri="{FF2B5EF4-FFF2-40B4-BE49-F238E27FC236}">
              <a16:creationId xmlns:a16="http://schemas.microsoft.com/office/drawing/2014/main" id="{00000000-0008-0000-0100-0000A9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17</xdr:row>
      <xdr:rowOff>38100</xdr:rowOff>
    </xdr:from>
    <xdr:to>
      <xdr:col>5</xdr:col>
      <xdr:colOff>1190625</xdr:colOff>
      <xdr:row>17</xdr:row>
      <xdr:rowOff>257175</xdr:rowOff>
    </xdr:to>
    <xdr:sp macro="" textlink="">
      <xdr:nvSpPr>
        <xdr:cNvPr id="426" name="CaixaDeTexto 425">
          <a:extLst>
            <a:ext uri="{FF2B5EF4-FFF2-40B4-BE49-F238E27FC236}">
              <a16:creationId xmlns:a16="http://schemas.microsoft.com/office/drawing/2014/main" id="{00000000-0008-0000-0100-0000AA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18</xdr:row>
      <xdr:rowOff>104775</xdr:rowOff>
    </xdr:from>
    <xdr:to>
      <xdr:col>4</xdr:col>
      <xdr:colOff>333375</xdr:colOff>
      <xdr:row>18</xdr:row>
      <xdr:rowOff>266700</xdr:rowOff>
    </xdr:to>
    <xdr:sp macro="" textlink="">
      <xdr:nvSpPr>
        <xdr:cNvPr id="427" name="Retângulo 426">
          <a:extLst>
            <a:ext uri="{FF2B5EF4-FFF2-40B4-BE49-F238E27FC236}">
              <a16:creationId xmlns:a16="http://schemas.microsoft.com/office/drawing/2014/main" id="{00000000-0008-0000-0100-0000AB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18</xdr:row>
      <xdr:rowOff>104775</xdr:rowOff>
    </xdr:from>
    <xdr:to>
      <xdr:col>5</xdr:col>
      <xdr:colOff>523875</xdr:colOff>
      <xdr:row>18</xdr:row>
      <xdr:rowOff>266700</xdr:rowOff>
    </xdr:to>
    <xdr:sp macro="" textlink="">
      <xdr:nvSpPr>
        <xdr:cNvPr id="428" name="Retângulo 427">
          <a:extLst>
            <a:ext uri="{FF2B5EF4-FFF2-40B4-BE49-F238E27FC236}">
              <a16:creationId xmlns:a16="http://schemas.microsoft.com/office/drawing/2014/main" id="{00000000-0008-0000-0100-0000AC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18</xdr:row>
      <xdr:rowOff>57150</xdr:rowOff>
    </xdr:from>
    <xdr:to>
      <xdr:col>5</xdr:col>
      <xdr:colOff>76200</xdr:colOff>
      <xdr:row>18</xdr:row>
      <xdr:rowOff>276225</xdr:rowOff>
    </xdr:to>
    <xdr:sp macro="" textlink="">
      <xdr:nvSpPr>
        <xdr:cNvPr id="429" name="CaixaDeTexto 428">
          <a:extLst>
            <a:ext uri="{FF2B5EF4-FFF2-40B4-BE49-F238E27FC236}">
              <a16:creationId xmlns:a16="http://schemas.microsoft.com/office/drawing/2014/main" id="{00000000-0008-0000-0100-0000AD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18</xdr:row>
      <xdr:rowOff>38100</xdr:rowOff>
    </xdr:from>
    <xdr:to>
      <xdr:col>5</xdr:col>
      <xdr:colOff>1190625</xdr:colOff>
      <xdr:row>18</xdr:row>
      <xdr:rowOff>257175</xdr:rowOff>
    </xdr:to>
    <xdr:sp macro="" textlink="">
      <xdr:nvSpPr>
        <xdr:cNvPr id="430" name="CaixaDeTexto 429">
          <a:extLst>
            <a:ext uri="{FF2B5EF4-FFF2-40B4-BE49-F238E27FC236}">
              <a16:creationId xmlns:a16="http://schemas.microsoft.com/office/drawing/2014/main" id="{00000000-0008-0000-0100-0000AE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19</xdr:row>
      <xdr:rowOff>104775</xdr:rowOff>
    </xdr:from>
    <xdr:to>
      <xdr:col>4</xdr:col>
      <xdr:colOff>333375</xdr:colOff>
      <xdr:row>19</xdr:row>
      <xdr:rowOff>266700</xdr:rowOff>
    </xdr:to>
    <xdr:sp macro="" textlink="">
      <xdr:nvSpPr>
        <xdr:cNvPr id="431" name="Retângulo 430">
          <a:extLst>
            <a:ext uri="{FF2B5EF4-FFF2-40B4-BE49-F238E27FC236}">
              <a16:creationId xmlns:a16="http://schemas.microsoft.com/office/drawing/2014/main" id="{00000000-0008-0000-0100-0000AF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19</xdr:row>
      <xdr:rowOff>104775</xdr:rowOff>
    </xdr:from>
    <xdr:to>
      <xdr:col>5</xdr:col>
      <xdr:colOff>523875</xdr:colOff>
      <xdr:row>19</xdr:row>
      <xdr:rowOff>266700</xdr:rowOff>
    </xdr:to>
    <xdr:sp macro="" textlink="">
      <xdr:nvSpPr>
        <xdr:cNvPr id="432" name="Retângulo 431">
          <a:extLst>
            <a:ext uri="{FF2B5EF4-FFF2-40B4-BE49-F238E27FC236}">
              <a16:creationId xmlns:a16="http://schemas.microsoft.com/office/drawing/2014/main" id="{00000000-0008-0000-0100-0000B0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19</xdr:row>
      <xdr:rowOff>57150</xdr:rowOff>
    </xdr:from>
    <xdr:to>
      <xdr:col>5</xdr:col>
      <xdr:colOff>76200</xdr:colOff>
      <xdr:row>19</xdr:row>
      <xdr:rowOff>276225</xdr:rowOff>
    </xdr:to>
    <xdr:sp macro="" textlink="">
      <xdr:nvSpPr>
        <xdr:cNvPr id="433" name="CaixaDeTexto 432">
          <a:extLst>
            <a:ext uri="{FF2B5EF4-FFF2-40B4-BE49-F238E27FC236}">
              <a16:creationId xmlns:a16="http://schemas.microsoft.com/office/drawing/2014/main" id="{00000000-0008-0000-0100-0000B1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19</xdr:row>
      <xdr:rowOff>38100</xdr:rowOff>
    </xdr:from>
    <xdr:to>
      <xdr:col>5</xdr:col>
      <xdr:colOff>1190625</xdr:colOff>
      <xdr:row>19</xdr:row>
      <xdr:rowOff>257175</xdr:rowOff>
    </xdr:to>
    <xdr:sp macro="" textlink="">
      <xdr:nvSpPr>
        <xdr:cNvPr id="434" name="CaixaDeTexto 433">
          <a:extLst>
            <a:ext uri="{FF2B5EF4-FFF2-40B4-BE49-F238E27FC236}">
              <a16:creationId xmlns:a16="http://schemas.microsoft.com/office/drawing/2014/main" id="{00000000-0008-0000-0100-0000B2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20</xdr:row>
      <xdr:rowOff>104775</xdr:rowOff>
    </xdr:from>
    <xdr:to>
      <xdr:col>4</xdr:col>
      <xdr:colOff>333375</xdr:colOff>
      <xdr:row>20</xdr:row>
      <xdr:rowOff>266700</xdr:rowOff>
    </xdr:to>
    <xdr:sp macro="" textlink="">
      <xdr:nvSpPr>
        <xdr:cNvPr id="435" name="Retângulo 434">
          <a:extLst>
            <a:ext uri="{FF2B5EF4-FFF2-40B4-BE49-F238E27FC236}">
              <a16:creationId xmlns:a16="http://schemas.microsoft.com/office/drawing/2014/main" id="{00000000-0008-0000-0100-0000B3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20</xdr:row>
      <xdr:rowOff>104775</xdr:rowOff>
    </xdr:from>
    <xdr:to>
      <xdr:col>5</xdr:col>
      <xdr:colOff>523875</xdr:colOff>
      <xdr:row>20</xdr:row>
      <xdr:rowOff>266700</xdr:rowOff>
    </xdr:to>
    <xdr:sp macro="" textlink="">
      <xdr:nvSpPr>
        <xdr:cNvPr id="436" name="Retângulo 435">
          <a:extLst>
            <a:ext uri="{FF2B5EF4-FFF2-40B4-BE49-F238E27FC236}">
              <a16:creationId xmlns:a16="http://schemas.microsoft.com/office/drawing/2014/main" id="{00000000-0008-0000-0100-0000B4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20</xdr:row>
      <xdr:rowOff>57150</xdr:rowOff>
    </xdr:from>
    <xdr:to>
      <xdr:col>5</xdr:col>
      <xdr:colOff>76200</xdr:colOff>
      <xdr:row>20</xdr:row>
      <xdr:rowOff>276225</xdr:rowOff>
    </xdr:to>
    <xdr:sp macro="" textlink="">
      <xdr:nvSpPr>
        <xdr:cNvPr id="437" name="CaixaDeTexto 436">
          <a:extLst>
            <a:ext uri="{FF2B5EF4-FFF2-40B4-BE49-F238E27FC236}">
              <a16:creationId xmlns:a16="http://schemas.microsoft.com/office/drawing/2014/main" id="{00000000-0008-0000-0100-0000B5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20</xdr:row>
      <xdr:rowOff>38100</xdr:rowOff>
    </xdr:from>
    <xdr:to>
      <xdr:col>5</xdr:col>
      <xdr:colOff>1190625</xdr:colOff>
      <xdr:row>20</xdr:row>
      <xdr:rowOff>257175</xdr:rowOff>
    </xdr:to>
    <xdr:sp macro="" textlink="">
      <xdr:nvSpPr>
        <xdr:cNvPr id="438" name="CaixaDeTexto 437">
          <a:extLst>
            <a:ext uri="{FF2B5EF4-FFF2-40B4-BE49-F238E27FC236}">
              <a16:creationId xmlns:a16="http://schemas.microsoft.com/office/drawing/2014/main" id="{00000000-0008-0000-0100-0000B6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21</xdr:row>
      <xdr:rowOff>104775</xdr:rowOff>
    </xdr:from>
    <xdr:to>
      <xdr:col>4</xdr:col>
      <xdr:colOff>333375</xdr:colOff>
      <xdr:row>21</xdr:row>
      <xdr:rowOff>266700</xdr:rowOff>
    </xdr:to>
    <xdr:sp macro="" textlink="">
      <xdr:nvSpPr>
        <xdr:cNvPr id="439" name="Retângulo 438">
          <a:extLst>
            <a:ext uri="{FF2B5EF4-FFF2-40B4-BE49-F238E27FC236}">
              <a16:creationId xmlns:a16="http://schemas.microsoft.com/office/drawing/2014/main" id="{00000000-0008-0000-0100-0000B7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21</xdr:row>
      <xdr:rowOff>104775</xdr:rowOff>
    </xdr:from>
    <xdr:to>
      <xdr:col>5</xdr:col>
      <xdr:colOff>523875</xdr:colOff>
      <xdr:row>21</xdr:row>
      <xdr:rowOff>266700</xdr:rowOff>
    </xdr:to>
    <xdr:sp macro="" textlink="">
      <xdr:nvSpPr>
        <xdr:cNvPr id="440" name="Retângulo 439">
          <a:extLst>
            <a:ext uri="{FF2B5EF4-FFF2-40B4-BE49-F238E27FC236}">
              <a16:creationId xmlns:a16="http://schemas.microsoft.com/office/drawing/2014/main" id="{00000000-0008-0000-0100-0000B8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21</xdr:row>
      <xdr:rowOff>57150</xdr:rowOff>
    </xdr:from>
    <xdr:to>
      <xdr:col>5</xdr:col>
      <xdr:colOff>76200</xdr:colOff>
      <xdr:row>21</xdr:row>
      <xdr:rowOff>276225</xdr:rowOff>
    </xdr:to>
    <xdr:sp macro="" textlink="">
      <xdr:nvSpPr>
        <xdr:cNvPr id="441" name="CaixaDeTexto 440">
          <a:extLst>
            <a:ext uri="{FF2B5EF4-FFF2-40B4-BE49-F238E27FC236}">
              <a16:creationId xmlns:a16="http://schemas.microsoft.com/office/drawing/2014/main" id="{00000000-0008-0000-0100-0000B9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21</xdr:row>
      <xdr:rowOff>38100</xdr:rowOff>
    </xdr:from>
    <xdr:to>
      <xdr:col>5</xdr:col>
      <xdr:colOff>1190625</xdr:colOff>
      <xdr:row>21</xdr:row>
      <xdr:rowOff>257175</xdr:rowOff>
    </xdr:to>
    <xdr:sp macro="" textlink="">
      <xdr:nvSpPr>
        <xdr:cNvPr id="442" name="CaixaDeTexto 441">
          <a:extLst>
            <a:ext uri="{FF2B5EF4-FFF2-40B4-BE49-F238E27FC236}">
              <a16:creationId xmlns:a16="http://schemas.microsoft.com/office/drawing/2014/main" id="{00000000-0008-0000-0100-0000BA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22</xdr:row>
      <xdr:rowOff>104775</xdr:rowOff>
    </xdr:from>
    <xdr:to>
      <xdr:col>4</xdr:col>
      <xdr:colOff>333375</xdr:colOff>
      <xdr:row>22</xdr:row>
      <xdr:rowOff>266700</xdr:rowOff>
    </xdr:to>
    <xdr:sp macro="" textlink="">
      <xdr:nvSpPr>
        <xdr:cNvPr id="443" name="Retângulo 442">
          <a:extLst>
            <a:ext uri="{FF2B5EF4-FFF2-40B4-BE49-F238E27FC236}">
              <a16:creationId xmlns:a16="http://schemas.microsoft.com/office/drawing/2014/main" id="{00000000-0008-0000-0100-0000BB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22</xdr:row>
      <xdr:rowOff>104775</xdr:rowOff>
    </xdr:from>
    <xdr:to>
      <xdr:col>5</xdr:col>
      <xdr:colOff>523875</xdr:colOff>
      <xdr:row>22</xdr:row>
      <xdr:rowOff>266700</xdr:rowOff>
    </xdr:to>
    <xdr:sp macro="" textlink="">
      <xdr:nvSpPr>
        <xdr:cNvPr id="444" name="Retângulo 443">
          <a:extLst>
            <a:ext uri="{FF2B5EF4-FFF2-40B4-BE49-F238E27FC236}">
              <a16:creationId xmlns:a16="http://schemas.microsoft.com/office/drawing/2014/main" id="{00000000-0008-0000-0100-0000BC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22</xdr:row>
      <xdr:rowOff>57150</xdr:rowOff>
    </xdr:from>
    <xdr:to>
      <xdr:col>5</xdr:col>
      <xdr:colOff>76200</xdr:colOff>
      <xdr:row>22</xdr:row>
      <xdr:rowOff>276225</xdr:rowOff>
    </xdr:to>
    <xdr:sp macro="" textlink="">
      <xdr:nvSpPr>
        <xdr:cNvPr id="445" name="CaixaDeTexto 444">
          <a:extLst>
            <a:ext uri="{FF2B5EF4-FFF2-40B4-BE49-F238E27FC236}">
              <a16:creationId xmlns:a16="http://schemas.microsoft.com/office/drawing/2014/main" id="{00000000-0008-0000-0100-0000BD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22</xdr:row>
      <xdr:rowOff>38100</xdr:rowOff>
    </xdr:from>
    <xdr:to>
      <xdr:col>5</xdr:col>
      <xdr:colOff>1190625</xdr:colOff>
      <xdr:row>22</xdr:row>
      <xdr:rowOff>257175</xdr:rowOff>
    </xdr:to>
    <xdr:sp macro="" textlink="">
      <xdr:nvSpPr>
        <xdr:cNvPr id="446" name="CaixaDeTexto 445">
          <a:extLst>
            <a:ext uri="{FF2B5EF4-FFF2-40B4-BE49-F238E27FC236}">
              <a16:creationId xmlns:a16="http://schemas.microsoft.com/office/drawing/2014/main" id="{00000000-0008-0000-0100-0000BE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23</xdr:row>
      <xdr:rowOff>104775</xdr:rowOff>
    </xdr:from>
    <xdr:to>
      <xdr:col>4</xdr:col>
      <xdr:colOff>333375</xdr:colOff>
      <xdr:row>23</xdr:row>
      <xdr:rowOff>266700</xdr:rowOff>
    </xdr:to>
    <xdr:sp macro="" textlink="">
      <xdr:nvSpPr>
        <xdr:cNvPr id="447" name="Retângulo 446">
          <a:extLst>
            <a:ext uri="{FF2B5EF4-FFF2-40B4-BE49-F238E27FC236}">
              <a16:creationId xmlns:a16="http://schemas.microsoft.com/office/drawing/2014/main" id="{00000000-0008-0000-0100-0000BF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23</xdr:row>
      <xdr:rowOff>104775</xdr:rowOff>
    </xdr:from>
    <xdr:to>
      <xdr:col>5</xdr:col>
      <xdr:colOff>523875</xdr:colOff>
      <xdr:row>23</xdr:row>
      <xdr:rowOff>266700</xdr:rowOff>
    </xdr:to>
    <xdr:sp macro="" textlink="">
      <xdr:nvSpPr>
        <xdr:cNvPr id="448" name="Retângulo 447">
          <a:extLst>
            <a:ext uri="{FF2B5EF4-FFF2-40B4-BE49-F238E27FC236}">
              <a16:creationId xmlns:a16="http://schemas.microsoft.com/office/drawing/2014/main" id="{00000000-0008-0000-0100-0000C0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23</xdr:row>
      <xdr:rowOff>57150</xdr:rowOff>
    </xdr:from>
    <xdr:to>
      <xdr:col>5</xdr:col>
      <xdr:colOff>76200</xdr:colOff>
      <xdr:row>23</xdr:row>
      <xdr:rowOff>276225</xdr:rowOff>
    </xdr:to>
    <xdr:sp macro="" textlink="">
      <xdr:nvSpPr>
        <xdr:cNvPr id="449" name="CaixaDeTexto 448">
          <a:extLst>
            <a:ext uri="{FF2B5EF4-FFF2-40B4-BE49-F238E27FC236}">
              <a16:creationId xmlns:a16="http://schemas.microsoft.com/office/drawing/2014/main" id="{00000000-0008-0000-0100-0000C1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23</xdr:row>
      <xdr:rowOff>38100</xdr:rowOff>
    </xdr:from>
    <xdr:to>
      <xdr:col>5</xdr:col>
      <xdr:colOff>1190625</xdr:colOff>
      <xdr:row>23</xdr:row>
      <xdr:rowOff>257175</xdr:rowOff>
    </xdr:to>
    <xdr:sp macro="" textlink="">
      <xdr:nvSpPr>
        <xdr:cNvPr id="450" name="CaixaDeTexto 449">
          <a:extLst>
            <a:ext uri="{FF2B5EF4-FFF2-40B4-BE49-F238E27FC236}">
              <a16:creationId xmlns:a16="http://schemas.microsoft.com/office/drawing/2014/main" id="{00000000-0008-0000-0100-0000C2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24</xdr:row>
      <xdr:rowOff>104775</xdr:rowOff>
    </xdr:from>
    <xdr:to>
      <xdr:col>4</xdr:col>
      <xdr:colOff>333375</xdr:colOff>
      <xdr:row>24</xdr:row>
      <xdr:rowOff>266700</xdr:rowOff>
    </xdr:to>
    <xdr:sp macro="" textlink="">
      <xdr:nvSpPr>
        <xdr:cNvPr id="451" name="Retângulo 450">
          <a:extLst>
            <a:ext uri="{FF2B5EF4-FFF2-40B4-BE49-F238E27FC236}">
              <a16:creationId xmlns:a16="http://schemas.microsoft.com/office/drawing/2014/main" id="{00000000-0008-0000-0100-0000C3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24</xdr:row>
      <xdr:rowOff>104775</xdr:rowOff>
    </xdr:from>
    <xdr:to>
      <xdr:col>5</xdr:col>
      <xdr:colOff>523875</xdr:colOff>
      <xdr:row>24</xdr:row>
      <xdr:rowOff>266700</xdr:rowOff>
    </xdr:to>
    <xdr:sp macro="" textlink="">
      <xdr:nvSpPr>
        <xdr:cNvPr id="452" name="Retângulo 451">
          <a:extLst>
            <a:ext uri="{FF2B5EF4-FFF2-40B4-BE49-F238E27FC236}">
              <a16:creationId xmlns:a16="http://schemas.microsoft.com/office/drawing/2014/main" id="{00000000-0008-0000-0100-0000C4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24</xdr:row>
      <xdr:rowOff>57150</xdr:rowOff>
    </xdr:from>
    <xdr:to>
      <xdr:col>5</xdr:col>
      <xdr:colOff>76200</xdr:colOff>
      <xdr:row>24</xdr:row>
      <xdr:rowOff>276225</xdr:rowOff>
    </xdr:to>
    <xdr:sp macro="" textlink="">
      <xdr:nvSpPr>
        <xdr:cNvPr id="453" name="CaixaDeTexto 452">
          <a:extLst>
            <a:ext uri="{FF2B5EF4-FFF2-40B4-BE49-F238E27FC236}">
              <a16:creationId xmlns:a16="http://schemas.microsoft.com/office/drawing/2014/main" id="{00000000-0008-0000-0100-0000C5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24</xdr:row>
      <xdr:rowOff>38100</xdr:rowOff>
    </xdr:from>
    <xdr:to>
      <xdr:col>5</xdr:col>
      <xdr:colOff>1190625</xdr:colOff>
      <xdr:row>24</xdr:row>
      <xdr:rowOff>257175</xdr:rowOff>
    </xdr:to>
    <xdr:sp macro="" textlink="">
      <xdr:nvSpPr>
        <xdr:cNvPr id="454" name="CaixaDeTexto 453">
          <a:extLst>
            <a:ext uri="{FF2B5EF4-FFF2-40B4-BE49-F238E27FC236}">
              <a16:creationId xmlns:a16="http://schemas.microsoft.com/office/drawing/2014/main" id="{00000000-0008-0000-0100-0000C6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25</xdr:row>
      <xdr:rowOff>104775</xdr:rowOff>
    </xdr:from>
    <xdr:to>
      <xdr:col>4</xdr:col>
      <xdr:colOff>333375</xdr:colOff>
      <xdr:row>25</xdr:row>
      <xdr:rowOff>266700</xdr:rowOff>
    </xdr:to>
    <xdr:sp macro="" textlink="">
      <xdr:nvSpPr>
        <xdr:cNvPr id="455" name="Retângulo 454">
          <a:extLst>
            <a:ext uri="{FF2B5EF4-FFF2-40B4-BE49-F238E27FC236}">
              <a16:creationId xmlns:a16="http://schemas.microsoft.com/office/drawing/2014/main" id="{00000000-0008-0000-0100-0000C7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25</xdr:row>
      <xdr:rowOff>104775</xdr:rowOff>
    </xdr:from>
    <xdr:to>
      <xdr:col>5</xdr:col>
      <xdr:colOff>523875</xdr:colOff>
      <xdr:row>25</xdr:row>
      <xdr:rowOff>266700</xdr:rowOff>
    </xdr:to>
    <xdr:sp macro="" textlink="">
      <xdr:nvSpPr>
        <xdr:cNvPr id="456" name="Retângulo 455">
          <a:extLst>
            <a:ext uri="{FF2B5EF4-FFF2-40B4-BE49-F238E27FC236}">
              <a16:creationId xmlns:a16="http://schemas.microsoft.com/office/drawing/2014/main" id="{00000000-0008-0000-0100-0000C8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25</xdr:row>
      <xdr:rowOff>57150</xdr:rowOff>
    </xdr:from>
    <xdr:to>
      <xdr:col>5</xdr:col>
      <xdr:colOff>76200</xdr:colOff>
      <xdr:row>25</xdr:row>
      <xdr:rowOff>276225</xdr:rowOff>
    </xdr:to>
    <xdr:sp macro="" textlink="">
      <xdr:nvSpPr>
        <xdr:cNvPr id="457" name="CaixaDeTexto 456">
          <a:extLst>
            <a:ext uri="{FF2B5EF4-FFF2-40B4-BE49-F238E27FC236}">
              <a16:creationId xmlns:a16="http://schemas.microsoft.com/office/drawing/2014/main" id="{00000000-0008-0000-0100-0000C9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25</xdr:row>
      <xdr:rowOff>38100</xdr:rowOff>
    </xdr:from>
    <xdr:to>
      <xdr:col>5</xdr:col>
      <xdr:colOff>1190625</xdr:colOff>
      <xdr:row>25</xdr:row>
      <xdr:rowOff>257175</xdr:rowOff>
    </xdr:to>
    <xdr:sp macro="" textlink="">
      <xdr:nvSpPr>
        <xdr:cNvPr id="458" name="CaixaDeTexto 457">
          <a:extLst>
            <a:ext uri="{FF2B5EF4-FFF2-40B4-BE49-F238E27FC236}">
              <a16:creationId xmlns:a16="http://schemas.microsoft.com/office/drawing/2014/main" id="{00000000-0008-0000-0100-0000CA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26</xdr:row>
      <xdr:rowOff>104775</xdr:rowOff>
    </xdr:from>
    <xdr:to>
      <xdr:col>4</xdr:col>
      <xdr:colOff>333375</xdr:colOff>
      <xdr:row>26</xdr:row>
      <xdr:rowOff>266700</xdr:rowOff>
    </xdr:to>
    <xdr:sp macro="" textlink="">
      <xdr:nvSpPr>
        <xdr:cNvPr id="459" name="Retângulo 458">
          <a:extLst>
            <a:ext uri="{FF2B5EF4-FFF2-40B4-BE49-F238E27FC236}">
              <a16:creationId xmlns:a16="http://schemas.microsoft.com/office/drawing/2014/main" id="{00000000-0008-0000-0100-0000CB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26</xdr:row>
      <xdr:rowOff>104775</xdr:rowOff>
    </xdr:from>
    <xdr:to>
      <xdr:col>5</xdr:col>
      <xdr:colOff>523875</xdr:colOff>
      <xdr:row>26</xdr:row>
      <xdr:rowOff>266700</xdr:rowOff>
    </xdr:to>
    <xdr:sp macro="" textlink="">
      <xdr:nvSpPr>
        <xdr:cNvPr id="460" name="Retângulo 459">
          <a:extLst>
            <a:ext uri="{FF2B5EF4-FFF2-40B4-BE49-F238E27FC236}">
              <a16:creationId xmlns:a16="http://schemas.microsoft.com/office/drawing/2014/main" id="{00000000-0008-0000-0100-0000CC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26</xdr:row>
      <xdr:rowOff>57150</xdr:rowOff>
    </xdr:from>
    <xdr:to>
      <xdr:col>5</xdr:col>
      <xdr:colOff>76200</xdr:colOff>
      <xdr:row>26</xdr:row>
      <xdr:rowOff>276225</xdr:rowOff>
    </xdr:to>
    <xdr:sp macro="" textlink="">
      <xdr:nvSpPr>
        <xdr:cNvPr id="461" name="CaixaDeTexto 460">
          <a:extLst>
            <a:ext uri="{FF2B5EF4-FFF2-40B4-BE49-F238E27FC236}">
              <a16:creationId xmlns:a16="http://schemas.microsoft.com/office/drawing/2014/main" id="{00000000-0008-0000-0100-0000CD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26</xdr:row>
      <xdr:rowOff>38100</xdr:rowOff>
    </xdr:from>
    <xdr:to>
      <xdr:col>5</xdr:col>
      <xdr:colOff>1190625</xdr:colOff>
      <xdr:row>26</xdr:row>
      <xdr:rowOff>257175</xdr:rowOff>
    </xdr:to>
    <xdr:sp macro="" textlink="">
      <xdr:nvSpPr>
        <xdr:cNvPr id="462" name="CaixaDeTexto 461">
          <a:extLst>
            <a:ext uri="{FF2B5EF4-FFF2-40B4-BE49-F238E27FC236}">
              <a16:creationId xmlns:a16="http://schemas.microsoft.com/office/drawing/2014/main" id="{00000000-0008-0000-0100-0000CE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27</xdr:row>
      <xdr:rowOff>104775</xdr:rowOff>
    </xdr:from>
    <xdr:to>
      <xdr:col>4</xdr:col>
      <xdr:colOff>333375</xdr:colOff>
      <xdr:row>27</xdr:row>
      <xdr:rowOff>266700</xdr:rowOff>
    </xdr:to>
    <xdr:sp macro="" textlink="">
      <xdr:nvSpPr>
        <xdr:cNvPr id="463" name="Retângulo 462">
          <a:extLst>
            <a:ext uri="{FF2B5EF4-FFF2-40B4-BE49-F238E27FC236}">
              <a16:creationId xmlns:a16="http://schemas.microsoft.com/office/drawing/2014/main" id="{00000000-0008-0000-0100-0000CF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27</xdr:row>
      <xdr:rowOff>104775</xdr:rowOff>
    </xdr:from>
    <xdr:to>
      <xdr:col>5</xdr:col>
      <xdr:colOff>523875</xdr:colOff>
      <xdr:row>27</xdr:row>
      <xdr:rowOff>266700</xdr:rowOff>
    </xdr:to>
    <xdr:sp macro="" textlink="">
      <xdr:nvSpPr>
        <xdr:cNvPr id="464" name="Retângulo 463">
          <a:extLst>
            <a:ext uri="{FF2B5EF4-FFF2-40B4-BE49-F238E27FC236}">
              <a16:creationId xmlns:a16="http://schemas.microsoft.com/office/drawing/2014/main" id="{00000000-0008-0000-0100-0000D0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27</xdr:row>
      <xdr:rowOff>57150</xdr:rowOff>
    </xdr:from>
    <xdr:to>
      <xdr:col>5</xdr:col>
      <xdr:colOff>76200</xdr:colOff>
      <xdr:row>27</xdr:row>
      <xdr:rowOff>276225</xdr:rowOff>
    </xdr:to>
    <xdr:sp macro="" textlink="">
      <xdr:nvSpPr>
        <xdr:cNvPr id="465" name="CaixaDeTexto 464">
          <a:extLst>
            <a:ext uri="{FF2B5EF4-FFF2-40B4-BE49-F238E27FC236}">
              <a16:creationId xmlns:a16="http://schemas.microsoft.com/office/drawing/2014/main" id="{00000000-0008-0000-0100-0000D1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27</xdr:row>
      <xdr:rowOff>38100</xdr:rowOff>
    </xdr:from>
    <xdr:to>
      <xdr:col>5</xdr:col>
      <xdr:colOff>1190625</xdr:colOff>
      <xdr:row>27</xdr:row>
      <xdr:rowOff>257175</xdr:rowOff>
    </xdr:to>
    <xdr:sp macro="" textlink="">
      <xdr:nvSpPr>
        <xdr:cNvPr id="466" name="CaixaDeTexto 465">
          <a:extLst>
            <a:ext uri="{FF2B5EF4-FFF2-40B4-BE49-F238E27FC236}">
              <a16:creationId xmlns:a16="http://schemas.microsoft.com/office/drawing/2014/main" id="{00000000-0008-0000-0100-0000D2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28</xdr:row>
      <xdr:rowOff>104775</xdr:rowOff>
    </xdr:from>
    <xdr:to>
      <xdr:col>4</xdr:col>
      <xdr:colOff>333375</xdr:colOff>
      <xdr:row>28</xdr:row>
      <xdr:rowOff>266700</xdr:rowOff>
    </xdr:to>
    <xdr:sp macro="" textlink="">
      <xdr:nvSpPr>
        <xdr:cNvPr id="467" name="Retângulo 466">
          <a:extLst>
            <a:ext uri="{FF2B5EF4-FFF2-40B4-BE49-F238E27FC236}">
              <a16:creationId xmlns:a16="http://schemas.microsoft.com/office/drawing/2014/main" id="{00000000-0008-0000-0100-0000D3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28</xdr:row>
      <xdr:rowOff>104775</xdr:rowOff>
    </xdr:from>
    <xdr:to>
      <xdr:col>5</xdr:col>
      <xdr:colOff>523875</xdr:colOff>
      <xdr:row>28</xdr:row>
      <xdr:rowOff>266700</xdr:rowOff>
    </xdr:to>
    <xdr:sp macro="" textlink="">
      <xdr:nvSpPr>
        <xdr:cNvPr id="468" name="Retângulo 467">
          <a:extLst>
            <a:ext uri="{FF2B5EF4-FFF2-40B4-BE49-F238E27FC236}">
              <a16:creationId xmlns:a16="http://schemas.microsoft.com/office/drawing/2014/main" id="{00000000-0008-0000-0100-0000D4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28</xdr:row>
      <xdr:rowOff>57150</xdr:rowOff>
    </xdr:from>
    <xdr:to>
      <xdr:col>5</xdr:col>
      <xdr:colOff>76200</xdr:colOff>
      <xdr:row>28</xdr:row>
      <xdr:rowOff>276225</xdr:rowOff>
    </xdr:to>
    <xdr:sp macro="" textlink="">
      <xdr:nvSpPr>
        <xdr:cNvPr id="469" name="CaixaDeTexto 468">
          <a:extLst>
            <a:ext uri="{FF2B5EF4-FFF2-40B4-BE49-F238E27FC236}">
              <a16:creationId xmlns:a16="http://schemas.microsoft.com/office/drawing/2014/main" id="{00000000-0008-0000-0100-0000D5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28</xdr:row>
      <xdr:rowOff>38100</xdr:rowOff>
    </xdr:from>
    <xdr:to>
      <xdr:col>5</xdr:col>
      <xdr:colOff>1190625</xdr:colOff>
      <xdr:row>28</xdr:row>
      <xdr:rowOff>257175</xdr:rowOff>
    </xdr:to>
    <xdr:sp macro="" textlink="">
      <xdr:nvSpPr>
        <xdr:cNvPr id="470" name="CaixaDeTexto 469">
          <a:extLst>
            <a:ext uri="{FF2B5EF4-FFF2-40B4-BE49-F238E27FC236}">
              <a16:creationId xmlns:a16="http://schemas.microsoft.com/office/drawing/2014/main" id="{00000000-0008-0000-0100-0000D6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29</xdr:row>
      <xdr:rowOff>104775</xdr:rowOff>
    </xdr:from>
    <xdr:to>
      <xdr:col>4</xdr:col>
      <xdr:colOff>333375</xdr:colOff>
      <xdr:row>29</xdr:row>
      <xdr:rowOff>266700</xdr:rowOff>
    </xdr:to>
    <xdr:sp macro="" textlink="">
      <xdr:nvSpPr>
        <xdr:cNvPr id="471" name="Retângulo 470">
          <a:extLst>
            <a:ext uri="{FF2B5EF4-FFF2-40B4-BE49-F238E27FC236}">
              <a16:creationId xmlns:a16="http://schemas.microsoft.com/office/drawing/2014/main" id="{00000000-0008-0000-0100-0000D7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29</xdr:row>
      <xdr:rowOff>104775</xdr:rowOff>
    </xdr:from>
    <xdr:to>
      <xdr:col>5</xdr:col>
      <xdr:colOff>523875</xdr:colOff>
      <xdr:row>29</xdr:row>
      <xdr:rowOff>266700</xdr:rowOff>
    </xdr:to>
    <xdr:sp macro="" textlink="">
      <xdr:nvSpPr>
        <xdr:cNvPr id="472" name="Retângulo 471">
          <a:extLst>
            <a:ext uri="{FF2B5EF4-FFF2-40B4-BE49-F238E27FC236}">
              <a16:creationId xmlns:a16="http://schemas.microsoft.com/office/drawing/2014/main" id="{00000000-0008-0000-0100-0000D8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29</xdr:row>
      <xdr:rowOff>57150</xdr:rowOff>
    </xdr:from>
    <xdr:to>
      <xdr:col>5</xdr:col>
      <xdr:colOff>76200</xdr:colOff>
      <xdr:row>29</xdr:row>
      <xdr:rowOff>276225</xdr:rowOff>
    </xdr:to>
    <xdr:sp macro="" textlink="">
      <xdr:nvSpPr>
        <xdr:cNvPr id="473" name="CaixaDeTexto 472">
          <a:extLst>
            <a:ext uri="{FF2B5EF4-FFF2-40B4-BE49-F238E27FC236}">
              <a16:creationId xmlns:a16="http://schemas.microsoft.com/office/drawing/2014/main" id="{00000000-0008-0000-0100-0000D9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29</xdr:row>
      <xdr:rowOff>38100</xdr:rowOff>
    </xdr:from>
    <xdr:to>
      <xdr:col>5</xdr:col>
      <xdr:colOff>1190625</xdr:colOff>
      <xdr:row>29</xdr:row>
      <xdr:rowOff>257175</xdr:rowOff>
    </xdr:to>
    <xdr:sp macro="" textlink="">
      <xdr:nvSpPr>
        <xdr:cNvPr id="474" name="CaixaDeTexto 473">
          <a:extLst>
            <a:ext uri="{FF2B5EF4-FFF2-40B4-BE49-F238E27FC236}">
              <a16:creationId xmlns:a16="http://schemas.microsoft.com/office/drawing/2014/main" id="{00000000-0008-0000-0100-0000DA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30</xdr:row>
      <xdr:rowOff>104775</xdr:rowOff>
    </xdr:from>
    <xdr:to>
      <xdr:col>4</xdr:col>
      <xdr:colOff>333375</xdr:colOff>
      <xdr:row>30</xdr:row>
      <xdr:rowOff>266700</xdr:rowOff>
    </xdr:to>
    <xdr:sp macro="" textlink="">
      <xdr:nvSpPr>
        <xdr:cNvPr id="475" name="Retângulo 474">
          <a:extLst>
            <a:ext uri="{FF2B5EF4-FFF2-40B4-BE49-F238E27FC236}">
              <a16:creationId xmlns:a16="http://schemas.microsoft.com/office/drawing/2014/main" id="{00000000-0008-0000-0100-0000DB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30</xdr:row>
      <xdr:rowOff>104775</xdr:rowOff>
    </xdr:from>
    <xdr:to>
      <xdr:col>5</xdr:col>
      <xdr:colOff>523875</xdr:colOff>
      <xdr:row>30</xdr:row>
      <xdr:rowOff>266700</xdr:rowOff>
    </xdr:to>
    <xdr:sp macro="" textlink="">
      <xdr:nvSpPr>
        <xdr:cNvPr id="476" name="Retângulo 475">
          <a:extLst>
            <a:ext uri="{FF2B5EF4-FFF2-40B4-BE49-F238E27FC236}">
              <a16:creationId xmlns:a16="http://schemas.microsoft.com/office/drawing/2014/main" id="{00000000-0008-0000-0100-0000DC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30</xdr:row>
      <xdr:rowOff>57150</xdr:rowOff>
    </xdr:from>
    <xdr:to>
      <xdr:col>5</xdr:col>
      <xdr:colOff>76200</xdr:colOff>
      <xdr:row>30</xdr:row>
      <xdr:rowOff>276225</xdr:rowOff>
    </xdr:to>
    <xdr:sp macro="" textlink="">
      <xdr:nvSpPr>
        <xdr:cNvPr id="477" name="CaixaDeTexto 476">
          <a:extLst>
            <a:ext uri="{FF2B5EF4-FFF2-40B4-BE49-F238E27FC236}">
              <a16:creationId xmlns:a16="http://schemas.microsoft.com/office/drawing/2014/main" id="{00000000-0008-0000-0100-0000DD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30</xdr:row>
      <xdr:rowOff>38100</xdr:rowOff>
    </xdr:from>
    <xdr:to>
      <xdr:col>5</xdr:col>
      <xdr:colOff>1190625</xdr:colOff>
      <xdr:row>30</xdr:row>
      <xdr:rowOff>257175</xdr:rowOff>
    </xdr:to>
    <xdr:sp macro="" textlink="">
      <xdr:nvSpPr>
        <xdr:cNvPr id="478" name="CaixaDeTexto 477">
          <a:extLst>
            <a:ext uri="{FF2B5EF4-FFF2-40B4-BE49-F238E27FC236}">
              <a16:creationId xmlns:a16="http://schemas.microsoft.com/office/drawing/2014/main" id="{00000000-0008-0000-0100-0000DE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31</xdr:row>
      <xdr:rowOff>104775</xdr:rowOff>
    </xdr:from>
    <xdr:to>
      <xdr:col>4</xdr:col>
      <xdr:colOff>333375</xdr:colOff>
      <xdr:row>31</xdr:row>
      <xdr:rowOff>266700</xdr:rowOff>
    </xdr:to>
    <xdr:sp macro="" textlink="">
      <xdr:nvSpPr>
        <xdr:cNvPr id="479" name="Retângulo 478">
          <a:extLst>
            <a:ext uri="{FF2B5EF4-FFF2-40B4-BE49-F238E27FC236}">
              <a16:creationId xmlns:a16="http://schemas.microsoft.com/office/drawing/2014/main" id="{00000000-0008-0000-0100-0000DF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31</xdr:row>
      <xdr:rowOff>104775</xdr:rowOff>
    </xdr:from>
    <xdr:to>
      <xdr:col>5</xdr:col>
      <xdr:colOff>523875</xdr:colOff>
      <xdr:row>31</xdr:row>
      <xdr:rowOff>266700</xdr:rowOff>
    </xdr:to>
    <xdr:sp macro="" textlink="">
      <xdr:nvSpPr>
        <xdr:cNvPr id="480" name="Retângulo 479">
          <a:extLst>
            <a:ext uri="{FF2B5EF4-FFF2-40B4-BE49-F238E27FC236}">
              <a16:creationId xmlns:a16="http://schemas.microsoft.com/office/drawing/2014/main" id="{00000000-0008-0000-0100-0000E0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31</xdr:row>
      <xdr:rowOff>57150</xdr:rowOff>
    </xdr:from>
    <xdr:to>
      <xdr:col>5</xdr:col>
      <xdr:colOff>76200</xdr:colOff>
      <xdr:row>31</xdr:row>
      <xdr:rowOff>276225</xdr:rowOff>
    </xdr:to>
    <xdr:sp macro="" textlink="">
      <xdr:nvSpPr>
        <xdr:cNvPr id="481" name="CaixaDeTexto 480">
          <a:extLst>
            <a:ext uri="{FF2B5EF4-FFF2-40B4-BE49-F238E27FC236}">
              <a16:creationId xmlns:a16="http://schemas.microsoft.com/office/drawing/2014/main" id="{00000000-0008-0000-0100-0000E1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31</xdr:row>
      <xdr:rowOff>38100</xdr:rowOff>
    </xdr:from>
    <xdr:to>
      <xdr:col>5</xdr:col>
      <xdr:colOff>1190625</xdr:colOff>
      <xdr:row>31</xdr:row>
      <xdr:rowOff>257175</xdr:rowOff>
    </xdr:to>
    <xdr:sp macro="" textlink="">
      <xdr:nvSpPr>
        <xdr:cNvPr id="482" name="CaixaDeTexto 481">
          <a:extLst>
            <a:ext uri="{FF2B5EF4-FFF2-40B4-BE49-F238E27FC236}">
              <a16:creationId xmlns:a16="http://schemas.microsoft.com/office/drawing/2014/main" id="{00000000-0008-0000-0100-0000E2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32</xdr:row>
      <xdr:rowOff>104775</xdr:rowOff>
    </xdr:from>
    <xdr:to>
      <xdr:col>4</xdr:col>
      <xdr:colOff>333375</xdr:colOff>
      <xdr:row>32</xdr:row>
      <xdr:rowOff>266700</xdr:rowOff>
    </xdr:to>
    <xdr:sp macro="" textlink="">
      <xdr:nvSpPr>
        <xdr:cNvPr id="483" name="Retângulo 482">
          <a:extLst>
            <a:ext uri="{FF2B5EF4-FFF2-40B4-BE49-F238E27FC236}">
              <a16:creationId xmlns:a16="http://schemas.microsoft.com/office/drawing/2014/main" id="{00000000-0008-0000-0100-0000E3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32</xdr:row>
      <xdr:rowOff>104775</xdr:rowOff>
    </xdr:from>
    <xdr:to>
      <xdr:col>5</xdr:col>
      <xdr:colOff>523875</xdr:colOff>
      <xdr:row>32</xdr:row>
      <xdr:rowOff>266700</xdr:rowOff>
    </xdr:to>
    <xdr:sp macro="" textlink="">
      <xdr:nvSpPr>
        <xdr:cNvPr id="484" name="Retângulo 483">
          <a:extLst>
            <a:ext uri="{FF2B5EF4-FFF2-40B4-BE49-F238E27FC236}">
              <a16:creationId xmlns:a16="http://schemas.microsoft.com/office/drawing/2014/main" id="{00000000-0008-0000-0100-0000E4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32</xdr:row>
      <xdr:rowOff>57150</xdr:rowOff>
    </xdr:from>
    <xdr:to>
      <xdr:col>5</xdr:col>
      <xdr:colOff>76200</xdr:colOff>
      <xdr:row>32</xdr:row>
      <xdr:rowOff>276225</xdr:rowOff>
    </xdr:to>
    <xdr:sp macro="" textlink="">
      <xdr:nvSpPr>
        <xdr:cNvPr id="485" name="CaixaDeTexto 484">
          <a:extLst>
            <a:ext uri="{FF2B5EF4-FFF2-40B4-BE49-F238E27FC236}">
              <a16:creationId xmlns:a16="http://schemas.microsoft.com/office/drawing/2014/main" id="{00000000-0008-0000-0100-0000E5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32</xdr:row>
      <xdr:rowOff>38100</xdr:rowOff>
    </xdr:from>
    <xdr:to>
      <xdr:col>5</xdr:col>
      <xdr:colOff>1190625</xdr:colOff>
      <xdr:row>32</xdr:row>
      <xdr:rowOff>257175</xdr:rowOff>
    </xdr:to>
    <xdr:sp macro="" textlink="">
      <xdr:nvSpPr>
        <xdr:cNvPr id="486" name="CaixaDeTexto 485">
          <a:extLst>
            <a:ext uri="{FF2B5EF4-FFF2-40B4-BE49-F238E27FC236}">
              <a16:creationId xmlns:a16="http://schemas.microsoft.com/office/drawing/2014/main" id="{00000000-0008-0000-0100-0000E6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33</xdr:row>
      <xdr:rowOff>104775</xdr:rowOff>
    </xdr:from>
    <xdr:to>
      <xdr:col>4</xdr:col>
      <xdr:colOff>333375</xdr:colOff>
      <xdr:row>33</xdr:row>
      <xdr:rowOff>266700</xdr:rowOff>
    </xdr:to>
    <xdr:sp macro="" textlink="">
      <xdr:nvSpPr>
        <xdr:cNvPr id="487" name="Retângulo 486">
          <a:extLst>
            <a:ext uri="{FF2B5EF4-FFF2-40B4-BE49-F238E27FC236}">
              <a16:creationId xmlns:a16="http://schemas.microsoft.com/office/drawing/2014/main" id="{00000000-0008-0000-0100-0000E7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33</xdr:row>
      <xdr:rowOff>104775</xdr:rowOff>
    </xdr:from>
    <xdr:to>
      <xdr:col>5</xdr:col>
      <xdr:colOff>523875</xdr:colOff>
      <xdr:row>33</xdr:row>
      <xdr:rowOff>266700</xdr:rowOff>
    </xdr:to>
    <xdr:sp macro="" textlink="">
      <xdr:nvSpPr>
        <xdr:cNvPr id="488" name="Retângulo 487">
          <a:extLst>
            <a:ext uri="{FF2B5EF4-FFF2-40B4-BE49-F238E27FC236}">
              <a16:creationId xmlns:a16="http://schemas.microsoft.com/office/drawing/2014/main" id="{00000000-0008-0000-0100-0000E8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33</xdr:row>
      <xdr:rowOff>57150</xdr:rowOff>
    </xdr:from>
    <xdr:to>
      <xdr:col>5</xdr:col>
      <xdr:colOff>76200</xdr:colOff>
      <xdr:row>33</xdr:row>
      <xdr:rowOff>276225</xdr:rowOff>
    </xdr:to>
    <xdr:sp macro="" textlink="">
      <xdr:nvSpPr>
        <xdr:cNvPr id="489" name="CaixaDeTexto 488">
          <a:extLst>
            <a:ext uri="{FF2B5EF4-FFF2-40B4-BE49-F238E27FC236}">
              <a16:creationId xmlns:a16="http://schemas.microsoft.com/office/drawing/2014/main" id="{00000000-0008-0000-0100-0000E9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33</xdr:row>
      <xdr:rowOff>38100</xdr:rowOff>
    </xdr:from>
    <xdr:to>
      <xdr:col>5</xdr:col>
      <xdr:colOff>1190625</xdr:colOff>
      <xdr:row>33</xdr:row>
      <xdr:rowOff>257175</xdr:rowOff>
    </xdr:to>
    <xdr:sp macro="" textlink="">
      <xdr:nvSpPr>
        <xdr:cNvPr id="490" name="CaixaDeTexto 489">
          <a:extLst>
            <a:ext uri="{FF2B5EF4-FFF2-40B4-BE49-F238E27FC236}">
              <a16:creationId xmlns:a16="http://schemas.microsoft.com/office/drawing/2014/main" id="{00000000-0008-0000-0100-0000EA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34</xdr:row>
      <xdr:rowOff>104775</xdr:rowOff>
    </xdr:from>
    <xdr:to>
      <xdr:col>4</xdr:col>
      <xdr:colOff>333375</xdr:colOff>
      <xdr:row>34</xdr:row>
      <xdr:rowOff>266700</xdr:rowOff>
    </xdr:to>
    <xdr:sp macro="" textlink="">
      <xdr:nvSpPr>
        <xdr:cNvPr id="491" name="Retângulo 490">
          <a:extLst>
            <a:ext uri="{FF2B5EF4-FFF2-40B4-BE49-F238E27FC236}">
              <a16:creationId xmlns:a16="http://schemas.microsoft.com/office/drawing/2014/main" id="{00000000-0008-0000-0100-0000EB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34</xdr:row>
      <xdr:rowOff>104775</xdr:rowOff>
    </xdr:from>
    <xdr:to>
      <xdr:col>5</xdr:col>
      <xdr:colOff>523875</xdr:colOff>
      <xdr:row>34</xdr:row>
      <xdr:rowOff>266700</xdr:rowOff>
    </xdr:to>
    <xdr:sp macro="" textlink="">
      <xdr:nvSpPr>
        <xdr:cNvPr id="492" name="Retângulo 491">
          <a:extLst>
            <a:ext uri="{FF2B5EF4-FFF2-40B4-BE49-F238E27FC236}">
              <a16:creationId xmlns:a16="http://schemas.microsoft.com/office/drawing/2014/main" id="{00000000-0008-0000-0100-0000EC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34</xdr:row>
      <xdr:rowOff>57150</xdr:rowOff>
    </xdr:from>
    <xdr:to>
      <xdr:col>5</xdr:col>
      <xdr:colOff>76200</xdr:colOff>
      <xdr:row>34</xdr:row>
      <xdr:rowOff>276225</xdr:rowOff>
    </xdr:to>
    <xdr:sp macro="" textlink="">
      <xdr:nvSpPr>
        <xdr:cNvPr id="493" name="CaixaDeTexto 492">
          <a:extLst>
            <a:ext uri="{FF2B5EF4-FFF2-40B4-BE49-F238E27FC236}">
              <a16:creationId xmlns:a16="http://schemas.microsoft.com/office/drawing/2014/main" id="{00000000-0008-0000-0100-0000ED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34</xdr:row>
      <xdr:rowOff>38100</xdr:rowOff>
    </xdr:from>
    <xdr:to>
      <xdr:col>5</xdr:col>
      <xdr:colOff>1190625</xdr:colOff>
      <xdr:row>34</xdr:row>
      <xdr:rowOff>257175</xdr:rowOff>
    </xdr:to>
    <xdr:sp macro="" textlink="">
      <xdr:nvSpPr>
        <xdr:cNvPr id="494" name="CaixaDeTexto 493">
          <a:extLst>
            <a:ext uri="{FF2B5EF4-FFF2-40B4-BE49-F238E27FC236}">
              <a16:creationId xmlns:a16="http://schemas.microsoft.com/office/drawing/2014/main" id="{00000000-0008-0000-0100-0000EE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35</xdr:row>
      <xdr:rowOff>104775</xdr:rowOff>
    </xdr:from>
    <xdr:to>
      <xdr:col>4</xdr:col>
      <xdr:colOff>333375</xdr:colOff>
      <xdr:row>35</xdr:row>
      <xdr:rowOff>266700</xdr:rowOff>
    </xdr:to>
    <xdr:sp macro="" textlink="">
      <xdr:nvSpPr>
        <xdr:cNvPr id="495" name="Retângulo 494">
          <a:extLst>
            <a:ext uri="{FF2B5EF4-FFF2-40B4-BE49-F238E27FC236}">
              <a16:creationId xmlns:a16="http://schemas.microsoft.com/office/drawing/2014/main" id="{00000000-0008-0000-0100-0000EF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35</xdr:row>
      <xdr:rowOff>104775</xdr:rowOff>
    </xdr:from>
    <xdr:to>
      <xdr:col>5</xdr:col>
      <xdr:colOff>523875</xdr:colOff>
      <xdr:row>35</xdr:row>
      <xdr:rowOff>266700</xdr:rowOff>
    </xdr:to>
    <xdr:sp macro="" textlink="">
      <xdr:nvSpPr>
        <xdr:cNvPr id="496" name="Retângulo 495">
          <a:extLst>
            <a:ext uri="{FF2B5EF4-FFF2-40B4-BE49-F238E27FC236}">
              <a16:creationId xmlns:a16="http://schemas.microsoft.com/office/drawing/2014/main" id="{00000000-0008-0000-0100-0000F0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35</xdr:row>
      <xdr:rowOff>57150</xdr:rowOff>
    </xdr:from>
    <xdr:to>
      <xdr:col>5</xdr:col>
      <xdr:colOff>76200</xdr:colOff>
      <xdr:row>35</xdr:row>
      <xdr:rowOff>276225</xdr:rowOff>
    </xdr:to>
    <xdr:sp macro="" textlink="">
      <xdr:nvSpPr>
        <xdr:cNvPr id="497" name="CaixaDeTexto 496">
          <a:extLst>
            <a:ext uri="{FF2B5EF4-FFF2-40B4-BE49-F238E27FC236}">
              <a16:creationId xmlns:a16="http://schemas.microsoft.com/office/drawing/2014/main" id="{00000000-0008-0000-0100-0000F1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35</xdr:row>
      <xdr:rowOff>38100</xdr:rowOff>
    </xdr:from>
    <xdr:to>
      <xdr:col>5</xdr:col>
      <xdr:colOff>1190625</xdr:colOff>
      <xdr:row>35</xdr:row>
      <xdr:rowOff>257175</xdr:rowOff>
    </xdr:to>
    <xdr:sp macro="" textlink="">
      <xdr:nvSpPr>
        <xdr:cNvPr id="498" name="CaixaDeTexto 497">
          <a:extLst>
            <a:ext uri="{FF2B5EF4-FFF2-40B4-BE49-F238E27FC236}">
              <a16:creationId xmlns:a16="http://schemas.microsoft.com/office/drawing/2014/main" id="{00000000-0008-0000-0100-0000F2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36</xdr:row>
      <xdr:rowOff>104775</xdr:rowOff>
    </xdr:from>
    <xdr:to>
      <xdr:col>4</xdr:col>
      <xdr:colOff>333375</xdr:colOff>
      <xdr:row>36</xdr:row>
      <xdr:rowOff>266700</xdr:rowOff>
    </xdr:to>
    <xdr:sp macro="" textlink="">
      <xdr:nvSpPr>
        <xdr:cNvPr id="499" name="Retângulo 498">
          <a:extLst>
            <a:ext uri="{FF2B5EF4-FFF2-40B4-BE49-F238E27FC236}">
              <a16:creationId xmlns:a16="http://schemas.microsoft.com/office/drawing/2014/main" id="{00000000-0008-0000-0100-0000F3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36</xdr:row>
      <xdr:rowOff>104775</xdr:rowOff>
    </xdr:from>
    <xdr:to>
      <xdr:col>5</xdr:col>
      <xdr:colOff>523875</xdr:colOff>
      <xdr:row>36</xdr:row>
      <xdr:rowOff>266700</xdr:rowOff>
    </xdr:to>
    <xdr:sp macro="" textlink="">
      <xdr:nvSpPr>
        <xdr:cNvPr id="500" name="Retângulo 499">
          <a:extLst>
            <a:ext uri="{FF2B5EF4-FFF2-40B4-BE49-F238E27FC236}">
              <a16:creationId xmlns:a16="http://schemas.microsoft.com/office/drawing/2014/main" id="{00000000-0008-0000-0100-0000F4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36</xdr:row>
      <xdr:rowOff>57150</xdr:rowOff>
    </xdr:from>
    <xdr:to>
      <xdr:col>5</xdr:col>
      <xdr:colOff>76200</xdr:colOff>
      <xdr:row>36</xdr:row>
      <xdr:rowOff>276225</xdr:rowOff>
    </xdr:to>
    <xdr:sp macro="" textlink="">
      <xdr:nvSpPr>
        <xdr:cNvPr id="501" name="CaixaDeTexto 500">
          <a:extLst>
            <a:ext uri="{FF2B5EF4-FFF2-40B4-BE49-F238E27FC236}">
              <a16:creationId xmlns:a16="http://schemas.microsoft.com/office/drawing/2014/main" id="{00000000-0008-0000-0100-0000F5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36</xdr:row>
      <xdr:rowOff>38100</xdr:rowOff>
    </xdr:from>
    <xdr:to>
      <xdr:col>5</xdr:col>
      <xdr:colOff>1190625</xdr:colOff>
      <xdr:row>36</xdr:row>
      <xdr:rowOff>257175</xdr:rowOff>
    </xdr:to>
    <xdr:sp macro="" textlink="">
      <xdr:nvSpPr>
        <xdr:cNvPr id="502" name="CaixaDeTexto 501">
          <a:extLst>
            <a:ext uri="{FF2B5EF4-FFF2-40B4-BE49-F238E27FC236}">
              <a16:creationId xmlns:a16="http://schemas.microsoft.com/office/drawing/2014/main" id="{00000000-0008-0000-0100-0000F6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37</xdr:row>
      <xdr:rowOff>104775</xdr:rowOff>
    </xdr:from>
    <xdr:to>
      <xdr:col>4</xdr:col>
      <xdr:colOff>333375</xdr:colOff>
      <xdr:row>37</xdr:row>
      <xdr:rowOff>266700</xdr:rowOff>
    </xdr:to>
    <xdr:sp macro="" textlink="">
      <xdr:nvSpPr>
        <xdr:cNvPr id="503" name="Retângulo 502">
          <a:extLst>
            <a:ext uri="{FF2B5EF4-FFF2-40B4-BE49-F238E27FC236}">
              <a16:creationId xmlns:a16="http://schemas.microsoft.com/office/drawing/2014/main" id="{00000000-0008-0000-0100-0000F7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37</xdr:row>
      <xdr:rowOff>104775</xdr:rowOff>
    </xdr:from>
    <xdr:to>
      <xdr:col>5</xdr:col>
      <xdr:colOff>523875</xdr:colOff>
      <xdr:row>37</xdr:row>
      <xdr:rowOff>266700</xdr:rowOff>
    </xdr:to>
    <xdr:sp macro="" textlink="">
      <xdr:nvSpPr>
        <xdr:cNvPr id="504" name="Retângulo 503">
          <a:extLst>
            <a:ext uri="{FF2B5EF4-FFF2-40B4-BE49-F238E27FC236}">
              <a16:creationId xmlns:a16="http://schemas.microsoft.com/office/drawing/2014/main" id="{00000000-0008-0000-0100-0000F8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37</xdr:row>
      <xdr:rowOff>57150</xdr:rowOff>
    </xdr:from>
    <xdr:to>
      <xdr:col>5</xdr:col>
      <xdr:colOff>76200</xdr:colOff>
      <xdr:row>37</xdr:row>
      <xdr:rowOff>276225</xdr:rowOff>
    </xdr:to>
    <xdr:sp macro="" textlink="">
      <xdr:nvSpPr>
        <xdr:cNvPr id="505" name="CaixaDeTexto 504">
          <a:extLst>
            <a:ext uri="{FF2B5EF4-FFF2-40B4-BE49-F238E27FC236}">
              <a16:creationId xmlns:a16="http://schemas.microsoft.com/office/drawing/2014/main" id="{00000000-0008-0000-0100-0000F9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37</xdr:row>
      <xdr:rowOff>38100</xdr:rowOff>
    </xdr:from>
    <xdr:to>
      <xdr:col>5</xdr:col>
      <xdr:colOff>1190625</xdr:colOff>
      <xdr:row>37</xdr:row>
      <xdr:rowOff>257175</xdr:rowOff>
    </xdr:to>
    <xdr:sp macro="" textlink="">
      <xdr:nvSpPr>
        <xdr:cNvPr id="506" name="CaixaDeTexto 505">
          <a:extLst>
            <a:ext uri="{FF2B5EF4-FFF2-40B4-BE49-F238E27FC236}">
              <a16:creationId xmlns:a16="http://schemas.microsoft.com/office/drawing/2014/main" id="{00000000-0008-0000-0100-0000FA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38</xdr:row>
      <xdr:rowOff>104775</xdr:rowOff>
    </xdr:from>
    <xdr:to>
      <xdr:col>4</xdr:col>
      <xdr:colOff>333375</xdr:colOff>
      <xdr:row>38</xdr:row>
      <xdr:rowOff>266700</xdr:rowOff>
    </xdr:to>
    <xdr:sp macro="" textlink="">
      <xdr:nvSpPr>
        <xdr:cNvPr id="507" name="Retângulo 506">
          <a:extLst>
            <a:ext uri="{FF2B5EF4-FFF2-40B4-BE49-F238E27FC236}">
              <a16:creationId xmlns:a16="http://schemas.microsoft.com/office/drawing/2014/main" id="{00000000-0008-0000-0100-0000FB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38</xdr:row>
      <xdr:rowOff>104775</xdr:rowOff>
    </xdr:from>
    <xdr:to>
      <xdr:col>5</xdr:col>
      <xdr:colOff>523875</xdr:colOff>
      <xdr:row>38</xdr:row>
      <xdr:rowOff>266700</xdr:rowOff>
    </xdr:to>
    <xdr:sp macro="" textlink="">
      <xdr:nvSpPr>
        <xdr:cNvPr id="508" name="Retângulo 507">
          <a:extLst>
            <a:ext uri="{FF2B5EF4-FFF2-40B4-BE49-F238E27FC236}">
              <a16:creationId xmlns:a16="http://schemas.microsoft.com/office/drawing/2014/main" id="{00000000-0008-0000-0100-0000FC01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38</xdr:row>
      <xdr:rowOff>57150</xdr:rowOff>
    </xdr:from>
    <xdr:to>
      <xdr:col>5</xdr:col>
      <xdr:colOff>76200</xdr:colOff>
      <xdr:row>38</xdr:row>
      <xdr:rowOff>276225</xdr:rowOff>
    </xdr:to>
    <xdr:sp macro="" textlink="">
      <xdr:nvSpPr>
        <xdr:cNvPr id="509" name="CaixaDeTexto 508">
          <a:extLst>
            <a:ext uri="{FF2B5EF4-FFF2-40B4-BE49-F238E27FC236}">
              <a16:creationId xmlns:a16="http://schemas.microsoft.com/office/drawing/2014/main" id="{00000000-0008-0000-0100-0000FD01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38</xdr:row>
      <xdr:rowOff>38100</xdr:rowOff>
    </xdr:from>
    <xdr:to>
      <xdr:col>5</xdr:col>
      <xdr:colOff>1190625</xdr:colOff>
      <xdr:row>38</xdr:row>
      <xdr:rowOff>257175</xdr:rowOff>
    </xdr:to>
    <xdr:sp macro="" textlink="">
      <xdr:nvSpPr>
        <xdr:cNvPr id="510" name="CaixaDeTexto 509">
          <a:extLst>
            <a:ext uri="{FF2B5EF4-FFF2-40B4-BE49-F238E27FC236}">
              <a16:creationId xmlns:a16="http://schemas.microsoft.com/office/drawing/2014/main" id="{00000000-0008-0000-0100-0000FE01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39</xdr:row>
      <xdr:rowOff>104775</xdr:rowOff>
    </xdr:from>
    <xdr:to>
      <xdr:col>4</xdr:col>
      <xdr:colOff>333375</xdr:colOff>
      <xdr:row>39</xdr:row>
      <xdr:rowOff>266700</xdr:rowOff>
    </xdr:to>
    <xdr:sp macro="" textlink="">
      <xdr:nvSpPr>
        <xdr:cNvPr id="511" name="Retângulo 510">
          <a:extLst>
            <a:ext uri="{FF2B5EF4-FFF2-40B4-BE49-F238E27FC236}">
              <a16:creationId xmlns:a16="http://schemas.microsoft.com/office/drawing/2014/main" id="{00000000-0008-0000-0100-0000FF01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39</xdr:row>
      <xdr:rowOff>104775</xdr:rowOff>
    </xdr:from>
    <xdr:to>
      <xdr:col>5</xdr:col>
      <xdr:colOff>523875</xdr:colOff>
      <xdr:row>39</xdr:row>
      <xdr:rowOff>266700</xdr:rowOff>
    </xdr:to>
    <xdr:sp macro="" textlink="">
      <xdr:nvSpPr>
        <xdr:cNvPr id="512" name="Retângulo 511">
          <a:extLst>
            <a:ext uri="{FF2B5EF4-FFF2-40B4-BE49-F238E27FC236}">
              <a16:creationId xmlns:a16="http://schemas.microsoft.com/office/drawing/2014/main" id="{00000000-0008-0000-0100-00000002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39</xdr:row>
      <xdr:rowOff>57150</xdr:rowOff>
    </xdr:from>
    <xdr:to>
      <xdr:col>5</xdr:col>
      <xdr:colOff>76200</xdr:colOff>
      <xdr:row>39</xdr:row>
      <xdr:rowOff>276225</xdr:rowOff>
    </xdr:to>
    <xdr:sp macro="" textlink="">
      <xdr:nvSpPr>
        <xdr:cNvPr id="513" name="CaixaDeTexto 512">
          <a:extLst>
            <a:ext uri="{FF2B5EF4-FFF2-40B4-BE49-F238E27FC236}">
              <a16:creationId xmlns:a16="http://schemas.microsoft.com/office/drawing/2014/main" id="{00000000-0008-0000-0100-00000102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39</xdr:row>
      <xdr:rowOff>38100</xdr:rowOff>
    </xdr:from>
    <xdr:to>
      <xdr:col>5</xdr:col>
      <xdr:colOff>1190625</xdr:colOff>
      <xdr:row>39</xdr:row>
      <xdr:rowOff>257175</xdr:rowOff>
    </xdr:to>
    <xdr:sp macro="" textlink="">
      <xdr:nvSpPr>
        <xdr:cNvPr id="514" name="CaixaDeTexto 513">
          <a:extLst>
            <a:ext uri="{FF2B5EF4-FFF2-40B4-BE49-F238E27FC236}">
              <a16:creationId xmlns:a16="http://schemas.microsoft.com/office/drawing/2014/main" id="{00000000-0008-0000-0100-00000202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40</xdr:row>
      <xdr:rowOff>104775</xdr:rowOff>
    </xdr:from>
    <xdr:to>
      <xdr:col>4</xdr:col>
      <xdr:colOff>333375</xdr:colOff>
      <xdr:row>40</xdr:row>
      <xdr:rowOff>266700</xdr:rowOff>
    </xdr:to>
    <xdr:sp macro="" textlink="">
      <xdr:nvSpPr>
        <xdr:cNvPr id="515" name="Retângulo 514">
          <a:extLst>
            <a:ext uri="{FF2B5EF4-FFF2-40B4-BE49-F238E27FC236}">
              <a16:creationId xmlns:a16="http://schemas.microsoft.com/office/drawing/2014/main" id="{00000000-0008-0000-0100-00000302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40</xdr:row>
      <xdr:rowOff>104775</xdr:rowOff>
    </xdr:from>
    <xdr:to>
      <xdr:col>5</xdr:col>
      <xdr:colOff>523875</xdr:colOff>
      <xdr:row>40</xdr:row>
      <xdr:rowOff>266700</xdr:rowOff>
    </xdr:to>
    <xdr:sp macro="" textlink="">
      <xdr:nvSpPr>
        <xdr:cNvPr id="516" name="Retângulo 515">
          <a:extLst>
            <a:ext uri="{FF2B5EF4-FFF2-40B4-BE49-F238E27FC236}">
              <a16:creationId xmlns:a16="http://schemas.microsoft.com/office/drawing/2014/main" id="{00000000-0008-0000-0100-00000402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40</xdr:row>
      <xdr:rowOff>57150</xdr:rowOff>
    </xdr:from>
    <xdr:to>
      <xdr:col>5</xdr:col>
      <xdr:colOff>76200</xdr:colOff>
      <xdr:row>40</xdr:row>
      <xdr:rowOff>276225</xdr:rowOff>
    </xdr:to>
    <xdr:sp macro="" textlink="">
      <xdr:nvSpPr>
        <xdr:cNvPr id="517" name="CaixaDeTexto 516">
          <a:extLst>
            <a:ext uri="{FF2B5EF4-FFF2-40B4-BE49-F238E27FC236}">
              <a16:creationId xmlns:a16="http://schemas.microsoft.com/office/drawing/2014/main" id="{00000000-0008-0000-0100-00000502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40</xdr:row>
      <xdr:rowOff>38100</xdr:rowOff>
    </xdr:from>
    <xdr:to>
      <xdr:col>5</xdr:col>
      <xdr:colOff>1190625</xdr:colOff>
      <xdr:row>40</xdr:row>
      <xdr:rowOff>257175</xdr:rowOff>
    </xdr:to>
    <xdr:sp macro="" textlink="">
      <xdr:nvSpPr>
        <xdr:cNvPr id="518" name="CaixaDeTexto 517">
          <a:extLst>
            <a:ext uri="{FF2B5EF4-FFF2-40B4-BE49-F238E27FC236}">
              <a16:creationId xmlns:a16="http://schemas.microsoft.com/office/drawing/2014/main" id="{00000000-0008-0000-0100-00000602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41</xdr:row>
      <xdr:rowOff>104775</xdr:rowOff>
    </xdr:from>
    <xdr:to>
      <xdr:col>4</xdr:col>
      <xdr:colOff>333375</xdr:colOff>
      <xdr:row>41</xdr:row>
      <xdr:rowOff>266700</xdr:rowOff>
    </xdr:to>
    <xdr:sp macro="" textlink="">
      <xdr:nvSpPr>
        <xdr:cNvPr id="519" name="Retângulo 518">
          <a:extLst>
            <a:ext uri="{FF2B5EF4-FFF2-40B4-BE49-F238E27FC236}">
              <a16:creationId xmlns:a16="http://schemas.microsoft.com/office/drawing/2014/main" id="{00000000-0008-0000-0100-00000702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41</xdr:row>
      <xdr:rowOff>104775</xdr:rowOff>
    </xdr:from>
    <xdr:to>
      <xdr:col>5</xdr:col>
      <xdr:colOff>523875</xdr:colOff>
      <xdr:row>41</xdr:row>
      <xdr:rowOff>266700</xdr:rowOff>
    </xdr:to>
    <xdr:sp macro="" textlink="">
      <xdr:nvSpPr>
        <xdr:cNvPr id="520" name="Retângulo 519">
          <a:extLst>
            <a:ext uri="{FF2B5EF4-FFF2-40B4-BE49-F238E27FC236}">
              <a16:creationId xmlns:a16="http://schemas.microsoft.com/office/drawing/2014/main" id="{00000000-0008-0000-0100-00000802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41</xdr:row>
      <xdr:rowOff>57150</xdr:rowOff>
    </xdr:from>
    <xdr:to>
      <xdr:col>5</xdr:col>
      <xdr:colOff>76200</xdr:colOff>
      <xdr:row>41</xdr:row>
      <xdr:rowOff>276225</xdr:rowOff>
    </xdr:to>
    <xdr:sp macro="" textlink="">
      <xdr:nvSpPr>
        <xdr:cNvPr id="521" name="CaixaDeTexto 520">
          <a:extLst>
            <a:ext uri="{FF2B5EF4-FFF2-40B4-BE49-F238E27FC236}">
              <a16:creationId xmlns:a16="http://schemas.microsoft.com/office/drawing/2014/main" id="{00000000-0008-0000-0100-00000902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41</xdr:row>
      <xdr:rowOff>38100</xdr:rowOff>
    </xdr:from>
    <xdr:to>
      <xdr:col>5</xdr:col>
      <xdr:colOff>1190625</xdr:colOff>
      <xdr:row>41</xdr:row>
      <xdr:rowOff>257175</xdr:rowOff>
    </xdr:to>
    <xdr:sp macro="" textlink="">
      <xdr:nvSpPr>
        <xdr:cNvPr id="522" name="CaixaDeTexto 521">
          <a:extLst>
            <a:ext uri="{FF2B5EF4-FFF2-40B4-BE49-F238E27FC236}">
              <a16:creationId xmlns:a16="http://schemas.microsoft.com/office/drawing/2014/main" id="{00000000-0008-0000-0100-00000A02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42</xdr:row>
      <xdr:rowOff>104775</xdr:rowOff>
    </xdr:from>
    <xdr:to>
      <xdr:col>4</xdr:col>
      <xdr:colOff>333375</xdr:colOff>
      <xdr:row>42</xdr:row>
      <xdr:rowOff>266700</xdr:rowOff>
    </xdr:to>
    <xdr:sp macro="" textlink="">
      <xdr:nvSpPr>
        <xdr:cNvPr id="523" name="Retângulo 522">
          <a:extLst>
            <a:ext uri="{FF2B5EF4-FFF2-40B4-BE49-F238E27FC236}">
              <a16:creationId xmlns:a16="http://schemas.microsoft.com/office/drawing/2014/main" id="{00000000-0008-0000-0100-00000B02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42</xdr:row>
      <xdr:rowOff>104775</xdr:rowOff>
    </xdr:from>
    <xdr:to>
      <xdr:col>5</xdr:col>
      <xdr:colOff>523875</xdr:colOff>
      <xdr:row>42</xdr:row>
      <xdr:rowOff>266700</xdr:rowOff>
    </xdr:to>
    <xdr:sp macro="" textlink="">
      <xdr:nvSpPr>
        <xdr:cNvPr id="524" name="Retângulo 523">
          <a:extLst>
            <a:ext uri="{FF2B5EF4-FFF2-40B4-BE49-F238E27FC236}">
              <a16:creationId xmlns:a16="http://schemas.microsoft.com/office/drawing/2014/main" id="{00000000-0008-0000-0100-00000C02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42</xdr:row>
      <xdr:rowOff>57150</xdr:rowOff>
    </xdr:from>
    <xdr:to>
      <xdr:col>5</xdr:col>
      <xdr:colOff>76200</xdr:colOff>
      <xdr:row>42</xdr:row>
      <xdr:rowOff>276225</xdr:rowOff>
    </xdr:to>
    <xdr:sp macro="" textlink="">
      <xdr:nvSpPr>
        <xdr:cNvPr id="525" name="CaixaDeTexto 524">
          <a:extLst>
            <a:ext uri="{FF2B5EF4-FFF2-40B4-BE49-F238E27FC236}">
              <a16:creationId xmlns:a16="http://schemas.microsoft.com/office/drawing/2014/main" id="{00000000-0008-0000-0100-00000D02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42</xdr:row>
      <xdr:rowOff>38100</xdr:rowOff>
    </xdr:from>
    <xdr:to>
      <xdr:col>5</xdr:col>
      <xdr:colOff>1190625</xdr:colOff>
      <xdr:row>42</xdr:row>
      <xdr:rowOff>257175</xdr:rowOff>
    </xdr:to>
    <xdr:sp macro="" textlink="">
      <xdr:nvSpPr>
        <xdr:cNvPr id="526" name="CaixaDeTexto 525">
          <a:extLst>
            <a:ext uri="{FF2B5EF4-FFF2-40B4-BE49-F238E27FC236}">
              <a16:creationId xmlns:a16="http://schemas.microsoft.com/office/drawing/2014/main" id="{00000000-0008-0000-0100-00000E02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43</xdr:row>
      <xdr:rowOff>104775</xdr:rowOff>
    </xdr:from>
    <xdr:to>
      <xdr:col>4</xdr:col>
      <xdr:colOff>333375</xdr:colOff>
      <xdr:row>43</xdr:row>
      <xdr:rowOff>266700</xdr:rowOff>
    </xdr:to>
    <xdr:sp macro="" textlink="">
      <xdr:nvSpPr>
        <xdr:cNvPr id="527" name="Retângulo 526">
          <a:extLst>
            <a:ext uri="{FF2B5EF4-FFF2-40B4-BE49-F238E27FC236}">
              <a16:creationId xmlns:a16="http://schemas.microsoft.com/office/drawing/2014/main" id="{00000000-0008-0000-0100-00000F02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43</xdr:row>
      <xdr:rowOff>104775</xdr:rowOff>
    </xdr:from>
    <xdr:to>
      <xdr:col>5</xdr:col>
      <xdr:colOff>523875</xdr:colOff>
      <xdr:row>43</xdr:row>
      <xdr:rowOff>266700</xdr:rowOff>
    </xdr:to>
    <xdr:sp macro="" textlink="">
      <xdr:nvSpPr>
        <xdr:cNvPr id="528" name="Retângulo 527">
          <a:extLst>
            <a:ext uri="{FF2B5EF4-FFF2-40B4-BE49-F238E27FC236}">
              <a16:creationId xmlns:a16="http://schemas.microsoft.com/office/drawing/2014/main" id="{00000000-0008-0000-0100-00001002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43</xdr:row>
      <xdr:rowOff>57150</xdr:rowOff>
    </xdr:from>
    <xdr:to>
      <xdr:col>5</xdr:col>
      <xdr:colOff>76200</xdr:colOff>
      <xdr:row>43</xdr:row>
      <xdr:rowOff>276225</xdr:rowOff>
    </xdr:to>
    <xdr:sp macro="" textlink="">
      <xdr:nvSpPr>
        <xdr:cNvPr id="529" name="CaixaDeTexto 528">
          <a:extLst>
            <a:ext uri="{FF2B5EF4-FFF2-40B4-BE49-F238E27FC236}">
              <a16:creationId xmlns:a16="http://schemas.microsoft.com/office/drawing/2014/main" id="{00000000-0008-0000-0100-00001102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43</xdr:row>
      <xdr:rowOff>38100</xdr:rowOff>
    </xdr:from>
    <xdr:to>
      <xdr:col>5</xdr:col>
      <xdr:colOff>1190625</xdr:colOff>
      <xdr:row>43</xdr:row>
      <xdr:rowOff>257175</xdr:rowOff>
    </xdr:to>
    <xdr:sp macro="" textlink="">
      <xdr:nvSpPr>
        <xdr:cNvPr id="530" name="CaixaDeTexto 529">
          <a:extLst>
            <a:ext uri="{FF2B5EF4-FFF2-40B4-BE49-F238E27FC236}">
              <a16:creationId xmlns:a16="http://schemas.microsoft.com/office/drawing/2014/main" id="{00000000-0008-0000-0100-00001202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44</xdr:row>
      <xdr:rowOff>104775</xdr:rowOff>
    </xdr:from>
    <xdr:to>
      <xdr:col>4</xdr:col>
      <xdr:colOff>333375</xdr:colOff>
      <xdr:row>44</xdr:row>
      <xdr:rowOff>266700</xdr:rowOff>
    </xdr:to>
    <xdr:sp macro="" textlink="">
      <xdr:nvSpPr>
        <xdr:cNvPr id="531" name="Retângulo 530">
          <a:extLst>
            <a:ext uri="{FF2B5EF4-FFF2-40B4-BE49-F238E27FC236}">
              <a16:creationId xmlns:a16="http://schemas.microsoft.com/office/drawing/2014/main" id="{00000000-0008-0000-0100-00001302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44</xdr:row>
      <xdr:rowOff>104775</xdr:rowOff>
    </xdr:from>
    <xdr:to>
      <xdr:col>5</xdr:col>
      <xdr:colOff>523875</xdr:colOff>
      <xdr:row>44</xdr:row>
      <xdr:rowOff>266700</xdr:rowOff>
    </xdr:to>
    <xdr:sp macro="" textlink="">
      <xdr:nvSpPr>
        <xdr:cNvPr id="532" name="Retângulo 531">
          <a:extLst>
            <a:ext uri="{FF2B5EF4-FFF2-40B4-BE49-F238E27FC236}">
              <a16:creationId xmlns:a16="http://schemas.microsoft.com/office/drawing/2014/main" id="{00000000-0008-0000-0100-00001402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44</xdr:row>
      <xdr:rowOff>57150</xdr:rowOff>
    </xdr:from>
    <xdr:to>
      <xdr:col>5</xdr:col>
      <xdr:colOff>76200</xdr:colOff>
      <xdr:row>44</xdr:row>
      <xdr:rowOff>276225</xdr:rowOff>
    </xdr:to>
    <xdr:sp macro="" textlink="">
      <xdr:nvSpPr>
        <xdr:cNvPr id="533" name="CaixaDeTexto 532">
          <a:extLst>
            <a:ext uri="{FF2B5EF4-FFF2-40B4-BE49-F238E27FC236}">
              <a16:creationId xmlns:a16="http://schemas.microsoft.com/office/drawing/2014/main" id="{00000000-0008-0000-0100-00001502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44</xdr:row>
      <xdr:rowOff>38100</xdr:rowOff>
    </xdr:from>
    <xdr:to>
      <xdr:col>5</xdr:col>
      <xdr:colOff>1190625</xdr:colOff>
      <xdr:row>44</xdr:row>
      <xdr:rowOff>257175</xdr:rowOff>
    </xdr:to>
    <xdr:sp macro="" textlink="">
      <xdr:nvSpPr>
        <xdr:cNvPr id="534" name="CaixaDeTexto 533">
          <a:extLst>
            <a:ext uri="{FF2B5EF4-FFF2-40B4-BE49-F238E27FC236}">
              <a16:creationId xmlns:a16="http://schemas.microsoft.com/office/drawing/2014/main" id="{00000000-0008-0000-0100-00001602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45</xdr:row>
      <xdr:rowOff>104775</xdr:rowOff>
    </xdr:from>
    <xdr:to>
      <xdr:col>4</xdr:col>
      <xdr:colOff>333375</xdr:colOff>
      <xdr:row>45</xdr:row>
      <xdr:rowOff>266700</xdr:rowOff>
    </xdr:to>
    <xdr:sp macro="" textlink="">
      <xdr:nvSpPr>
        <xdr:cNvPr id="535" name="Retângulo 534">
          <a:extLst>
            <a:ext uri="{FF2B5EF4-FFF2-40B4-BE49-F238E27FC236}">
              <a16:creationId xmlns:a16="http://schemas.microsoft.com/office/drawing/2014/main" id="{00000000-0008-0000-0100-00001702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45</xdr:row>
      <xdr:rowOff>104775</xdr:rowOff>
    </xdr:from>
    <xdr:to>
      <xdr:col>5</xdr:col>
      <xdr:colOff>523875</xdr:colOff>
      <xdr:row>45</xdr:row>
      <xdr:rowOff>266700</xdr:rowOff>
    </xdr:to>
    <xdr:sp macro="" textlink="">
      <xdr:nvSpPr>
        <xdr:cNvPr id="536" name="Retângulo 535">
          <a:extLst>
            <a:ext uri="{FF2B5EF4-FFF2-40B4-BE49-F238E27FC236}">
              <a16:creationId xmlns:a16="http://schemas.microsoft.com/office/drawing/2014/main" id="{00000000-0008-0000-0100-00001802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45</xdr:row>
      <xdr:rowOff>57150</xdr:rowOff>
    </xdr:from>
    <xdr:to>
      <xdr:col>5</xdr:col>
      <xdr:colOff>76200</xdr:colOff>
      <xdr:row>45</xdr:row>
      <xdr:rowOff>276225</xdr:rowOff>
    </xdr:to>
    <xdr:sp macro="" textlink="">
      <xdr:nvSpPr>
        <xdr:cNvPr id="537" name="CaixaDeTexto 536">
          <a:extLst>
            <a:ext uri="{FF2B5EF4-FFF2-40B4-BE49-F238E27FC236}">
              <a16:creationId xmlns:a16="http://schemas.microsoft.com/office/drawing/2014/main" id="{00000000-0008-0000-0100-00001902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45</xdr:row>
      <xdr:rowOff>38100</xdr:rowOff>
    </xdr:from>
    <xdr:to>
      <xdr:col>5</xdr:col>
      <xdr:colOff>1190625</xdr:colOff>
      <xdr:row>45</xdr:row>
      <xdr:rowOff>257175</xdr:rowOff>
    </xdr:to>
    <xdr:sp macro="" textlink="">
      <xdr:nvSpPr>
        <xdr:cNvPr id="538" name="CaixaDeTexto 537">
          <a:extLst>
            <a:ext uri="{FF2B5EF4-FFF2-40B4-BE49-F238E27FC236}">
              <a16:creationId xmlns:a16="http://schemas.microsoft.com/office/drawing/2014/main" id="{00000000-0008-0000-0100-00001A02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46</xdr:row>
      <xdr:rowOff>104775</xdr:rowOff>
    </xdr:from>
    <xdr:to>
      <xdr:col>4</xdr:col>
      <xdr:colOff>333375</xdr:colOff>
      <xdr:row>46</xdr:row>
      <xdr:rowOff>266700</xdr:rowOff>
    </xdr:to>
    <xdr:sp macro="" textlink="">
      <xdr:nvSpPr>
        <xdr:cNvPr id="539" name="Retângulo 538">
          <a:extLst>
            <a:ext uri="{FF2B5EF4-FFF2-40B4-BE49-F238E27FC236}">
              <a16:creationId xmlns:a16="http://schemas.microsoft.com/office/drawing/2014/main" id="{00000000-0008-0000-0100-00001B02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46</xdr:row>
      <xdr:rowOff>104775</xdr:rowOff>
    </xdr:from>
    <xdr:to>
      <xdr:col>5</xdr:col>
      <xdr:colOff>523875</xdr:colOff>
      <xdr:row>46</xdr:row>
      <xdr:rowOff>266700</xdr:rowOff>
    </xdr:to>
    <xdr:sp macro="" textlink="">
      <xdr:nvSpPr>
        <xdr:cNvPr id="540" name="Retângulo 539">
          <a:extLst>
            <a:ext uri="{FF2B5EF4-FFF2-40B4-BE49-F238E27FC236}">
              <a16:creationId xmlns:a16="http://schemas.microsoft.com/office/drawing/2014/main" id="{00000000-0008-0000-0100-00001C02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46</xdr:row>
      <xdr:rowOff>57150</xdr:rowOff>
    </xdr:from>
    <xdr:to>
      <xdr:col>5</xdr:col>
      <xdr:colOff>76200</xdr:colOff>
      <xdr:row>46</xdr:row>
      <xdr:rowOff>276225</xdr:rowOff>
    </xdr:to>
    <xdr:sp macro="" textlink="">
      <xdr:nvSpPr>
        <xdr:cNvPr id="541" name="CaixaDeTexto 540">
          <a:extLst>
            <a:ext uri="{FF2B5EF4-FFF2-40B4-BE49-F238E27FC236}">
              <a16:creationId xmlns:a16="http://schemas.microsoft.com/office/drawing/2014/main" id="{00000000-0008-0000-0100-00001D02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46</xdr:row>
      <xdr:rowOff>38100</xdr:rowOff>
    </xdr:from>
    <xdr:to>
      <xdr:col>5</xdr:col>
      <xdr:colOff>1190625</xdr:colOff>
      <xdr:row>46</xdr:row>
      <xdr:rowOff>257175</xdr:rowOff>
    </xdr:to>
    <xdr:sp macro="" textlink="">
      <xdr:nvSpPr>
        <xdr:cNvPr id="542" name="CaixaDeTexto 541">
          <a:extLst>
            <a:ext uri="{FF2B5EF4-FFF2-40B4-BE49-F238E27FC236}">
              <a16:creationId xmlns:a16="http://schemas.microsoft.com/office/drawing/2014/main" id="{00000000-0008-0000-0100-00001E02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  <xdr:twoCellAnchor>
    <xdr:from>
      <xdr:col>4</xdr:col>
      <xdr:colOff>66675</xdr:colOff>
      <xdr:row>47</xdr:row>
      <xdr:rowOff>104775</xdr:rowOff>
    </xdr:from>
    <xdr:to>
      <xdr:col>4</xdr:col>
      <xdr:colOff>333375</xdr:colOff>
      <xdr:row>47</xdr:row>
      <xdr:rowOff>266700</xdr:rowOff>
    </xdr:to>
    <xdr:sp macro="" textlink="">
      <xdr:nvSpPr>
        <xdr:cNvPr id="543" name="Retângulo 542">
          <a:extLst>
            <a:ext uri="{FF2B5EF4-FFF2-40B4-BE49-F238E27FC236}">
              <a16:creationId xmlns:a16="http://schemas.microsoft.com/office/drawing/2014/main" id="{00000000-0008-0000-0100-00001F020000}"/>
            </a:ext>
          </a:extLst>
        </xdr:cNvPr>
        <xdr:cNvSpPr/>
      </xdr:nvSpPr>
      <xdr:spPr bwMode="auto">
        <a:xfrm>
          <a:off x="38195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257175</xdr:colOff>
      <xdr:row>47</xdr:row>
      <xdr:rowOff>104775</xdr:rowOff>
    </xdr:from>
    <xdr:to>
      <xdr:col>5</xdr:col>
      <xdr:colOff>523875</xdr:colOff>
      <xdr:row>47</xdr:row>
      <xdr:rowOff>266700</xdr:rowOff>
    </xdr:to>
    <xdr:sp macro="" textlink="">
      <xdr:nvSpPr>
        <xdr:cNvPr id="544" name="Retângulo 543">
          <a:extLst>
            <a:ext uri="{FF2B5EF4-FFF2-40B4-BE49-F238E27FC236}">
              <a16:creationId xmlns:a16="http://schemas.microsoft.com/office/drawing/2014/main" id="{00000000-0008-0000-0100-000020020000}"/>
            </a:ext>
          </a:extLst>
        </xdr:cNvPr>
        <xdr:cNvSpPr/>
      </xdr:nvSpPr>
      <xdr:spPr bwMode="auto">
        <a:xfrm>
          <a:off x="4924425" y="1866900"/>
          <a:ext cx="266700" cy="161925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304800</xdr:colOff>
      <xdr:row>47</xdr:row>
      <xdr:rowOff>57150</xdr:rowOff>
    </xdr:from>
    <xdr:to>
      <xdr:col>5</xdr:col>
      <xdr:colOff>76200</xdr:colOff>
      <xdr:row>47</xdr:row>
      <xdr:rowOff>276225</xdr:rowOff>
    </xdr:to>
    <xdr:sp macro="" textlink="">
      <xdr:nvSpPr>
        <xdr:cNvPr id="545" name="CaixaDeTexto 544">
          <a:extLst>
            <a:ext uri="{FF2B5EF4-FFF2-40B4-BE49-F238E27FC236}">
              <a16:creationId xmlns:a16="http://schemas.microsoft.com/office/drawing/2014/main" id="{00000000-0008-0000-0100-000021020000}"/>
            </a:ext>
          </a:extLst>
        </xdr:cNvPr>
        <xdr:cNvSpPr txBox="1"/>
      </xdr:nvSpPr>
      <xdr:spPr>
        <a:xfrm>
          <a:off x="4057650" y="181927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100%</a:t>
          </a:r>
        </a:p>
      </xdr:txBody>
    </xdr:sp>
    <xdr:clientData/>
  </xdr:twoCellAnchor>
  <xdr:twoCellAnchor>
    <xdr:from>
      <xdr:col>5</xdr:col>
      <xdr:colOff>504825</xdr:colOff>
      <xdr:row>47</xdr:row>
      <xdr:rowOff>38100</xdr:rowOff>
    </xdr:from>
    <xdr:to>
      <xdr:col>5</xdr:col>
      <xdr:colOff>1190625</xdr:colOff>
      <xdr:row>47</xdr:row>
      <xdr:rowOff>257175</xdr:rowOff>
    </xdr:to>
    <xdr:sp macro="" textlink="">
      <xdr:nvSpPr>
        <xdr:cNvPr id="546" name="CaixaDeTexto 545">
          <a:extLst>
            <a:ext uri="{FF2B5EF4-FFF2-40B4-BE49-F238E27FC236}">
              <a16:creationId xmlns:a16="http://schemas.microsoft.com/office/drawing/2014/main" id="{00000000-0008-0000-0100-000022020000}"/>
            </a:ext>
          </a:extLst>
        </xdr:cNvPr>
        <xdr:cNvSpPr txBox="1"/>
      </xdr:nvSpPr>
      <xdr:spPr>
        <a:xfrm>
          <a:off x="5172075" y="1800225"/>
          <a:ext cx="6858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amostral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A323B8-51FC-4D88-968F-5B581BAD450E}">
  <sheetPr codeName="Planilha1">
    <tabColor rgb="FF3AABCE"/>
  </sheetPr>
  <dimension ref="A1:H95"/>
  <sheetViews>
    <sheetView tabSelected="1" zoomScaleNormal="100" workbookViewId="0">
      <selection activeCell="B52" sqref="B52:G54"/>
    </sheetView>
  </sheetViews>
  <sheetFormatPr defaultColWidth="9.140625" defaultRowHeight="12.75"/>
  <cols>
    <col min="1" max="1" width="3.7109375" customWidth="1"/>
    <col min="2" max="2" width="12.5703125" bestFit="1" customWidth="1"/>
    <col min="3" max="3" width="14.85546875" bestFit="1" customWidth="1"/>
    <col min="4" max="4" width="14.5703125" customWidth="1"/>
    <col min="5" max="5" width="10.42578125" hidden="1" customWidth="1"/>
    <col min="6" max="6" width="13.85546875" hidden="1" customWidth="1"/>
    <col min="7" max="7" width="16.42578125" customWidth="1"/>
    <col min="8" max="8" width="0.7109375" customWidth="1"/>
    <col min="9" max="9" width="6.42578125" customWidth="1"/>
    <col min="10" max="10" width="34" bestFit="1" customWidth="1"/>
    <col min="11" max="11" width="19.42578125" bestFit="1" customWidth="1"/>
  </cols>
  <sheetData>
    <row r="1" spans="1:8" ht="23.25" customHeight="1">
      <c r="A1" s="25"/>
      <c r="B1" s="29" t="s">
        <v>0</v>
      </c>
      <c r="C1" s="29"/>
      <c r="D1" s="29"/>
      <c r="E1" s="29"/>
      <c r="F1" s="29"/>
      <c r="G1" s="29"/>
      <c r="H1" s="25"/>
    </row>
    <row r="2" spans="1:8" ht="15.75">
      <c r="A2" s="26"/>
      <c r="B2" s="14" t="s">
        <v>1</v>
      </c>
      <c r="C2" s="30"/>
      <c r="D2" s="31"/>
      <c r="E2" s="31"/>
      <c r="F2" s="31"/>
      <c r="G2" s="32"/>
      <c r="H2" s="28"/>
    </row>
    <row r="3" spans="1:8" ht="15.75">
      <c r="A3" s="26"/>
      <c r="B3" s="14" t="s">
        <v>2</v>
      </c>
      <c r="C3" s="30"/>
      <c r="D3" s="31"/>
      <c r="E3" s="31"/>
      <c r="F3" s="31"/>
      <c r="G3" s="32"/>
      <c r="H3" s="28"/>
    </row>
    <row r="4" spans="1:8" ht="15" customHeight="1">
      <c r="A4" s="26"/>
      <c r="B4" s="14" t="s">
        <v>3</v>
      </c>
      <c r="C4" s="30"/>
      <c r="D4" s="31"/>
      <c r="E4" s="31"/>
      <c r="F4" s="31"/>
      <c r="G4" s="32"/>
      <c r="H4" s="28"/>
    </row>
    <row r="5" spans="1:8" ht="15" customHeight="1">
      <c r="A5" s="26"/>
      <c r="B5" s="14" t="s">
        <v>4</v>
      </c>
      <c r="C5" s="33"/>
      <c r="D5" s="34"/>
      <c r="E5" s="34"/>
      <c r="F5" s="34"/>
      <c r="G5" s="35"/>
      <c r="H5" s="28"/>
    </row>
    <row r="6" spans="1:8" ht="15.75">
      <c r="A6" s="26"/>
      <c r="B6" s="14" t="s">
        <v>5</v>
      </c>
      <c r="C6" s="36"/>
      <c r="D6" s="37"/>
      <c r="E6" s="37"/>
      <c r="F6" s="37"/>
      <c r="G6" s="38"/>
      <c r="H6" s="28"/>
    </row>
    <row r="7" spans="1:8" ht="14.25" customHeight="1">
      <c r="A7" s="26"/>
      <c r="B7" s="15" t="s">
        <v>6</v>
      </c>
      <c r="C7" s="15" t="s">
        <v>7</v>
      </c>
      <c r="D7" s="15" t="s">
        <v>8</v>
      </c>
      <c r="E7" s="15" t="s">
        <v>9</v>
      </c>
      <c r="F7" s="15" t="s">
        <v>10</v>
      </c>
      <c r="G7" s="15" t="s">
        <v>11</v>
      </c>
      <c r="H7" s="28"/>
    </row>
    <row r="8" spans="1:8" ht="14.25" customHeight="1">
      <c r="A8" s="27" t="s">
        <v>33</v>
      </c>
      <c r="B8" s="54"/>
      <c r="C8" s="54"/>
      <c r="D8" s="54"/>
      <c r="E8" s="54"/>
      <c r="F8" s="54"/>
      <c r="G8" s="54"/>
      <c r="H8" s="28"/>
    </row>
    <row r="9" spans="1:8" ht="14.25" customHeight="1">
      <c r="A9" s="27"/>
      <c r="B9" s="55"/>
      <c r="C9" s="55"/>
      <c r="D9" s="55"/>
      <c r="E9" s="55"/>
      <c r="F9" s="55"/>
      <c r="G9" s="55"/>
      <c r="H9" s="28"/>
    </row>
    <row r="10" spans="1:8" ht="14.25" customHeight="1">
      <c r="A10" s="27"/>
      <c r="B10" s="54"/>
      <c r="C10" s="54"/>
      <c r="D10" s="54"/>
      <c r="E10" s="54"/>
      <c r="F10" s="54"/>
      <c r="G10" s="54"/>
      <c r="H10" s="28"/>
    </row>
    <row r="11" spans="1:8" ht="14.25" customHeight="1">
      <c r="A11" s="27"/>
      <c r="B11" s="22"/>
      <c r="C11" s="22"/>
      <c r="D11" s="22"/>
      <c r="E11" s="22"/>
      <c r="F11" s="22"/>
      <c r="G11" s="22"/>
      <c r="H11" s="28"/>
    </row>
    <row r="12" spans="1:8" ht="14.25" customHeight="1">
      <c r="A12" s="27"/>
      <c r="B12" s="21"/>
      <c r="C12" s="21"/>
      <c r="D12" s="21"/>
      <c r="E12" s="21"/>
      <c r="F12" s="21"/>
      <c r="G12" s="21"/>
      <c r="H12" s="28"/>
    </row>
    <row r="13" spans="1:8" ht="14.25" customHeight="1">
      <c r="A13" s="27"/>
      <c r="B13" s="22"/>
      <c r="C13" s="22"/>
      <c r="D13" s="22"/>
      <c r="E13" s="22"/>
      <c r="F13" s="22"/>
      <c r="G13" s="22"/>
      <c r="H13" s="28"/>
    </row>
    <row r="14" spans="1:8" ht="14.25" customHeight="1">
      <c r="A14" s="27"/>
      <c r="B14" s="21"/>
      <c r="C14" s="21"/>
      <c r="D14" s="21"/>
      <c r="E14" s="21"/>
      <c r="F14" s="21"/>
      <c r="G14" s="21"/>
      <c r="H14" s="28"/>
    </row>
    <row r="15" spans="1:8" ht="14.25" customHeight="1">
      <c r="A15" s="27"/>
      <c r="B15" s="22"/>
      <c r="C15" s="22"/>
      <c r="D15" s="22"/>
      <c r="E15" s="22"/>
      <c r="F15" s="22"/>
      <c r="G15" s="22"/>
      <c r="H15" s="28"/>
    </row>
    <row r="16" spans="1:8" ht="14.25" customHeight="1">
      <c r="A16" s="27"/>
      <c r="B16" s="21"/>
      <c r="C16" s="21"/>
      <c r="D16" s="21"/>
      <c r="E16" s="21"/>
      <c r="F16" s="21"/>
      <c r="G16" s="21"/>
      <c r="H16" s="28"/>
    </row>
    <row r="17" spans="1:8" ht="14.25" customHeight="1">
      <c r="A17" s="27"/>
      <c r="B17" s="22"/>
      <c r="C17" s="22"/>
      <c r="D17" s="22"/>
      <c r="E17" s="22"/>
      <c r="F17" s="22"/>
      <c r="G17" s="22"/>
      <c r="H17" s="28"/>
    </row>
    <row r="18" spans="1:8" ht="14.25" customHeight="1">
      <c r="A18" s="27"/>
      <c r="B18" s="21"/>
      <c r="C18" s="21"/>
      <c r="D18" s="21"/>
      <c r="E18" s="21"/>
      <c r="F18" s="21"/>
      <c r="G18" s="21"/>
      <c r="H18" s="28"/>
    </row>
    <row r="19" spans="1:8" ht="14.25" customHeight="1">
      <c r="A19" s="27"/>
      <c r="B19" s="22"/>
      <c r="C19" s="22"/>
      <c r="D19" s="22"/>
      <c r="E19" s="22"/>
      <c r="F19" s="22"/>
      <c r="G19" s="22"/>
      <c r="H19" s="28"/>
    </row>
    <row r="20" spans="1:8" ht="14.25" customHeight="1">
      <c r="A20" s="27"/>
      <c r="B20" s="21"/>
      <c r="C20" s="21"/>
      <c r="D20" s="21"/>
      <c r="E20" s="21"/>
      <c r="F20" s="21"/>
      <c r="G20" s="21"/>
      <c r="H20" s="28"/>
    </row>
    <row r="21" spans="1:8" ht="14.25" customHeight="1">
      <c r="A21" s="27"/>
      <c r="B21" s="22"/>
      <c r="C21" s="22"/>
      <c r="D21" s="22"/>
      <c r="E21" s="22"/>
      <c r="F21" s="22"/>
      <c r="G21" s="22"/>
      <c r="H21" s="28"/>
    </row>
    <row r="22" spans="1:8" ht="14.25" customHeight="1">
      <c r="A22" s="27"/>
      <c r="B22" s="21"/>
      <c r="C22" s="21"/>
      <c r="D22" s="21"/>
      <c r="E22" s="21"/>
      <c r="F22" s="21"/>
      <c r="G22" s="21"/>
      <c r="H22" s="28"/>
    </row>
    <row r="23" spans="1:8" ht="14.25" customHeight="1">
      <c r="A23" s="27"/>
      <c r="B23" s="22"/>
      <c r="C23" s="22"/>
      <c r="D23" s="22"/>
      <c r="E23" s="22"/>
      <c r="F23" s="22"/>
      <c r="G23" s="22"/>
      <c r="H23" s="28"/>
    </row>
    <row r="24" spans="1:8" ht="14.25" customHeight="1">
      <c r="A24" s="27"/>
      <c r="B24" s="21"/>
      <c r="C24" s="21"/>
      <c r="D24" s="21"/>
      <c r="E24" s="21"/>
      <c r="F24" s="21"/>
      <c r="G24" s="21"/>
      <c r="H24" s="28"/>
    </row>
    <row r="25" spans="1:8" ht="14.25" customHeight="1">
      <c r="A25" s="27"/>
      <c r="B25" s="22"/>
      <c r="C25" s="22"/>
      <c r="D25" s="22"/>
      <c r="E25" s="22"/>
      <c r="F25" s="22"/>
      <c r="G25" s="22"/>
      <c r="H25" s="28"/>
    </row>
    <row r="26" spans="1:8" ht="14.25" customHeight="1">
      <c r="A26" s="27"/>
      <c r="B26" s="21"/>
      <c r="C26" s="21"/>
      <c r="D26" s="21"/>
      <c r="E26" s="21"/>
      <c r="F26" s="21"/>
      <c r="G26" s="21"/>
      <c r="H26" s="28"/>
    </row>
    <row r="27" spans="1:8" ht="14.25" customHeight="1">
      <c r="A27" s="27"/>
      <c r="B27" s="22"/>
      <c r="C27" s="22"/>
      <c r="D27" s="22"/>
      <c r="E27" s="22"/>
      <c r="F27" s="22"/>
      <c r="G27" s="22"/>
      <c r="H27" s="28"/>
    </row>
    <row r="28" spans="1:8" ht="14.25" customHeight="1">
      <c r="A28" s="27"/>
      <c r="B28" s="21"/>
      <c r="C28" s="21"/>
      <c r="D28" s="21"/>
      <c r="E28" s="21"/>
      <c r="F28" s="21"/>
      <c r="G28" s="21"/>
      <c r="H28" s="28"/>
    </row>
    <row r="29" spans="1:8" ht="14.25" customHeight="1">
      <c r="A29" s="27"/>
      <c r="B29" s="22"/>
      <c r="C29" s="22"/>
      <c r="D29" s="22"/>
      <c r="E29" s="22"/>
      <c r="F29" s="22"/>
      <c r="G29" s="22"/>
      <c r="H29" s="28"/>
    </row>
    <row r="30" spans="1:8" ht="14.25" customHeight="1">
      <c r="A30" s="27"/>
      <c r="B30" s="21"/>
      <c r="C30" s="21"/>
      <c r="D30" s="21"/>
      <c r="E30" s="21"/>
      <c r="F30" s="21"/>
      <c r="G30" s="21"/>
      <c r="H30" s="28"/>
    </row>
    <row r="31" spans="1:8" ht="14.25" customHeight="1">
      <c r="A31" s="27"/>
      <c r="B31" s="22"/>
      <c r="C31" s="22"/>
      <c r="D31" s="22"/>
      <c r="E31" s="22"/>
      <c r="F31" s="22"/>
      <c r="G31" s="22"/>
      <c r="H31" s="28"/>
    </row>
    <row r="32" spans="1:8" ht="14.25" customHeight="1">
      <c r="A32" s="27"/>
      <c r="B32" s="21"/>
      <c r="C32" s="21"/>
      <c r="D32" s="21"/>
      <c r="E32" s="21"/>
      <c r="F32" s="21"/>
      <c r="G32" s="21"/>
      <c r="H32" s="28"/>
    </row>
    <row r="33" spans="1:8" ht="14.25" customHeight="1">
      <c r="A33" s="27"/>
      <c r="B33" s="22"/>
      <c r="C33" s="22"/>
      <c r="D33" s="22"/>
      <c r="E33" s="22"/>
      <c r="F33" s="22"/>
      <c r="G33" s="22"/>
      <c r="H33" s="28"/>
    </row>
    <row r="34" spans="1:8" ht="14.25" customHeight="1">
      <c r="A34" s="27"/>
      <c r="B34" s="21"/>
      <c r="C34" s="21"/>
      <c r="D34" s="21"/>
      <c r="E34" s="21"/>
      <c r="F34" s="21"/>
      <c r="G34" s="21"/>
      <c r="H34" s="28"/>
    </row>
    <row r="35" spans="1:8" ht="14.25" customHeight="1">
      <c r="A35" s="27"/>
      <c r="B35" s="22"/>
      <c r="C35" s="22"/>
      <c r="D35" s="22"/>
      <c r="E35" s="22"/>
      <c r="F35" s="22"/>
      <c r="G35" s="22"/>
      <c r="H35" s="28"/>
    </row>
    <row r="36" spans="1:8" ht="14.25" customHeight="1">
      <c r="A36" s="27"/>
      <c r="B36" s="21"/>
      <c r="C36" s="21"/>
      <c r="D36" s="21"/>
      <c r="E36" s="21"/>
      <c r="F36" s="21"/>
      <c r="G36" s="21"/>
      <c r="H36" s="28"/>
    </row>
    <row r="37" spans="1:8" ht="14.25" customHeight="1">
      <c r="A37" s="27"/>
      <c r="B37" s="22"/>
      <c r="C37" s="22"/>
      <c r="D37" s="22"/>
      <c r="E37" s="22"/>
      <c r="F37" s="22"/>
      <c r="G37" s="22"/>
      <c r="H37" s="28"/>
    </row>
    <row r="38" spans="1:8" ht="14.25" customHeight="1">
      <c r="A38" s="27"/>
      <c r="B38" s="21"/>
      <c r="C38" s="21"/>
      <c r="D38" s="21"/>
      <c r="E38" s="21"/>
      <c r="F38" s="21"/>
      <c r="G38" s="21"/>
      <c r="H38" s="28"/>
    </row>
    <row r="39" spans="1:8" ht="14.25" customHeight="1">
      <c r="A39" s="27"/>
      <c r="B39" s="22"/>
      <c r="C39" s="22"/>
      <c r="D39" s="22"/>
      <c r="E39" s="22"/>
      <c r="F39" s="22"/>
      <c r="G39" s="22"/>
      <c r="H39" s="28"/>
    </row>
    <row r="40" spans="1:8" ht="14.25" customHeight="1">
      <c r="A40" s="27"/>
      <c r="B40" s="21"/>
      <c r="C40" s="21"/>
      <c r="D40" s="21"/>
      <c r="E40" s="21"/>
      <c r="F40" s="21"/>
      <c r="G40" s="21"/>
      <c r="H40" s="28"/>
    </row>
    <row r="41" spans="1:8" ht="14.25" customHeight="1">
      <c r="A41" s="27"/>
      <c r="B41" s="22"/>
      <c r="C41" s="22"/>
      <c r="D41" s="22"/>
      <c r="E41" s="22"/>
      <c r="F41" s="22"/>
      <c r="G41" s="22"/>
      <c r="H41" s="28"/>
    </row>
    <row r="42" spans="1:8" ht="14.25" customHeight="1">
      <c r="A42" s="27"/>
      <c r="B42" s="21"/>
      <c r="C42" s="21"/>
      <c r="D42" s="21"/>
      <c r="E42" s="21"/>
      <c r="F42" s="21"/>
      <c r="G42" s="21"/>
      <c r="H42" s="28"/>
    </row>
    <row r="43" spans="1:8" ht="14.25" customHeight="1">
      <c r="A43" s="27"/>
      <c r="B43" s="22"/>
      <c r="C43" s="22"/>
      <c r="D43" s="22"/>
      <c r="E43" s="22"/>
      <c r="F43" s="22"/>
      <c r="G43" s="22"/>
      <c r="H43" s="28"/>
    </row>
    <row r="44" spans="1:8" ht="14.25" customHeight="1">
      <c r="A44" s="27"/>
      <c r="B44" s="21"/>
      <c r="C44" s="21"/>
      <c r="D44" s="21"/>
      <c r="E44" s="21"/>
      <c r="F44" s="21"/>
      <c r="G44" s="21"/>
      <c r="H44" s="28"/>
    </row>
    <row r="45" spans="1:8" ht="14.25" customHeight="1">
      <c r="A45" s="27"/>
      <c r="B45" s="22"/>
      <c r="C45" s="22"/>
      <c r="D45" s="22"/>
      <c r="E45" s="22"/>
      <c r="F45" s="22"/>
      <c r="G45" s="22"/>
      <c r="H45" s="28"/>
    </row>
    <row r="46" spans="1:8" ht="14.25" customHeight="1">
      <c r="A46" s="27"/>
      <c r="B46" s="21"/>
      <c r="C46" s="21"/>
      <c r="D46" s="21"/>
      <c r="E46" s="21"/>
      <c r="F46" s="21"/>
      <c r="G46" s="21"/>
      <c r="H46" s="28"/>
    </row>
    <row r="47" spans="1:8" ht="14.25" customHeight="1">
      <c r="A47" s="27"/>
      <c r="B47" s="22"/>
      <c r="C47" s="22"/>
      <c r="D47" s="22"/>
      <c r="E47" s="22"/>
      <c r="F47" s="22"/>
      <c r="G47" s="22"/>
      <c r="H47" s="28"/>
    </row>
    <row r="48" spans="1:8" ht="15" customHeight="1">
      <c r="A48" s="27"/>
      <c r="B48" s="21"/>
      <c r="C48" s="21"/>
      <c r="D48" s="21"/>
      <c r="E48" s="21"/>
      <c r="F48" s="21"/>
      <c r="G48" s="21"/>
      <c r="H48" s="28"/>
    </row>
    <row r="49" spans="1:8" ht="14.25" customHeight="1">
      <c r="A49" s="27"/>
      <c r="B49" s="22"/>
      <c r="C49" s="22"/>
      <c r="D49" s="22"/>
      <c r="E49" s="22"/>
      <c r="F49" s="22"/>
      <c r="G49" s="22"/>
      <c r="H49" s="28"/>
    </row>
    <row r="50" spans="1:8" ht="13.9" customHeight="1">
      <c r="A50" s="27"/>
      <c r="B50" s="21"/>
      <c r="C50" s="21"/>
      <c r="D50" s="21"/>
      <c r="E50" s="21"/>
      <c r="F50" s="21"/>
      <c r="G50" s="21"/>
      <c r="H50" s="28"/>
    </row>
    <row r="51" spans="1:8" ht="15">
      <c r="A51" s="27"/>
      <c r="B51" s="22"/>
      <c r="C51" s="22"/>
      <c r="D51" s="22"/>
      <c r="E51" s="22"/>
      <c r="F51" s="22"/>
      <c r="G51" s="22"/>
      <c r="H51" s="20"/>
    </row>
    <row r="52" spans="1:8" ht="14.25">
      <c r="A52" s="23" t="s">
        <v>34</v>
      </c>
      <c r="B52" s="54"/>
      <c r="C52" s="54"/>
      <c r="D52" s="54"/>
      <c r="E52" s="54"/>
      <c r="F52" s="54"/>
      <c r="G52" s="54"/>
      <c r="H52" s="24"/>
    </row>
    <row r="53" spans="1:8" ht="14.25">
      <c r="A53" s="23"/>
      <c r="B53" s="55"/>
      <c r="C53" s="55"/>
      <c r="D53" s="55"/>
      <c r="E53" s="55"/>
      <c r="F53" s="55"/>
      <c r="G53" s="55"/>
      <c r="H53" s="24"/>
    </row>
    <row r="54" spans="1:8" ht="14.25">
      <c r="A54" s="23"/>
      <c r="B54" s="54"/>
      <c r="C54" s="54"/>
      <c r="D54" s="54"/>
      <c r="E54" s="54"/>
      <c r="F54" s="54"/>
      <c r="G54" s="54"/>
      <c r="H54" s="24"/>
    </row>
    <row r="55" spans="1:8" ht="15">
      <c r="A55" s="23"/>
      <c r="B55" s="22"/>
      <c r="C55" s="22"/>
      <c r="D55" s="22"/>
      <c r="E55" s="22"/>
      <c r="F55" s="22"/>
      <c r="G55" s="22"/>
      <c r="H55" s="24"/>
    </row>
    <row r="56" spans="1:8" ht="15">
      <c r="A56" s="23"/>
      <c r="B56" s="21"/>
      <c r="C56" s="21"/>
      <c r="D56" s="21"/>
      <c r="E56" s="21"/>
      <c r="F56" s="21"/>
      <c r="G56" s="21"/>
      <c r="H56" s="24"/>
    </row>
    <row r="57" spans="1:8" ht="15">
      <c r="A57" s="23"/>
      <c r="B57" s="22"/>
      <c r="C57" s="22"/>
      <c r="D57" s="22"/>
      <c r="E57" s="22"/>
      <c r="F57" s="22"/>
      <c r="G57" s="22"/>
      <c r="H57" s="24"/>
    </row>
    <row r="58" spans="1:8" ht="15">
      <c r="A58" s="23"/>
      <c r="B58" s="21"/>
      <c r="C58" s="21"/>
      <c r="D58" s="21"/>
      <c r="E58" s="21"/>
      <c r="F58" s="21"/>
      <c r="G58" s="21"/>
      <c r="H58" s="24"/>
    </row>
    <row r="59" spans="1:8" ht="15">
      <c r="A59" s="23"/>
      <c r="B59" s="22"/>
      <c r="C59" s="22"/>
      <c r="D59" s="22"/>
      <c r="E59" s="22"/>
      <c r="F59" s="22"/>
      <c r="G59" s="22"/>
      <c r="H59" s="24"/>
    </row>
    <row r="60" spans="1:8" ht="15">
      <c r="A60" s="23"/>
      <c r="B60" s="21"/>
      <c r="C60" s="21"/>
      <c r="D60" s="21"/>
      <c r="E60" s="21"/>
      <c r="F60" s="21"/>
      <c r="G60" s="21"/>
      <c r="H60" s="24"/>
    </row>
    <row r="61" spans="1:8" ht="15">
      <c r="A61" s="23"/>
      <c r="B61" s="22"/>
      <c r="C61" s="22"/>
      <c r="D61" s="22"/>
      <c r="E61" s="22"/>
      <c r="F61" s="22"/>
      <c r="G61" s="22"/>
      <c r="H61" s="24"/>
    </row>
    <row r="62" spans="1:8" ht="15">
      <c r="A62" s="23"/>
      <c r="B62" s="21"/>
      <c r="C62" s="21"/>
      <c r="D62" s="21"/>
      <c r="E62" s="21"/>
      <c r="F62" s="21"/>
      <c r="G62" s="21"/>
      <c r="H62" s="24"/>
    </row>
    <row r="63" spans="1:8" ht="15">
      <c r="A63" s="23"/>
      <c r="B63" s="22"/>
      <c r="C63" s="22"/>
      <c r="D63" s="22"/>
      <c r="E63" s="22"/>
      <c r="F63" s="22"/>
      <c r="G63" s="22"/>
      <c r="H63" s="24"/>
    </row>
    <row r="64" spans="1:8" ht="15">
      <c r="A64" s="23"/>
      <c r="B64" s="21"/>
      <c r="C64" s="21"/>
      <c r="D64" s="21"/>
      <c r="E64" s="21"/>
      <c r="F64" s="21"/>
      <c r="G64" s="21"/>
      <c r="H64" s="24"/>
    </row>
    <row r="65" spans="1:8" ht="15">
      <c r="A65" s="23"/>
      <c r="B65" s="22"/>
      <c r="C65" s="22"/>
      <c r="D65" s="22"/>
      <c r="E65" s="22"/>
      <c r="F65" s="22"/>
      <c r="G65" s="22"/>
      <c r="H65" s="24"/>
    </row>
    <row r="66" spans="1:8" ht="15">
      <c r="A66" s="23"/>
      <c r="B66" s="21"/>
      <c r="C66" s="21"/>
      <c r="D66" s="21"/>
      <c r="E66" s="21"/>
      <c r="F66" s="21"/>
      <c r="G66" s="21"/>
      <c r="H66" s="24"/>
    </row>
    <row r="67" spans="1:8" ht="15">
      <c r="A67" s="23"/>
      <c r="B67" s="22"/>
      <c r="C67" s="22"/>
      <c r="D67" s="22"/>
      <c r="E67" s="22"/>
      <c r="F67" s="22"/>
      <c r="G67" s="22"/>
      <c r="H67" s="24"/>
    </row>
    <row r="68" spans="1:8" ht="15">
      <c r="A68" s="23"/>
      <c r="B68" s="21"/>
      <c r="C68" s="21"/>
      <c r="D68" s="21"/>
      <c r="E68" s="21"/>
      <c r="F68" s="21"/>
      <c r="G68" s="21"/>
      <c r="H68" s="24"/>
    </row>
    <row r="69" spans="1:8" ht="15">
      <c r="A69" s="23"/>
      <c r="B69" s="22"/>
      <c r="C69" s="22"/>
      <c r="D69" s="22"/>
      <c r="E69" s="22"/>
      <c r="F69" s="22"/>
      <c r="G69" s="22"/>
      <c r="H69" s="24"/>
    </row>
    <row r="70" spans="1:8" ht="15">
      <c r="A70" s="23"/>
      <c r="B70" s="21"/>
      <c r="C70" s="21"/>
      <c r="D70" s="21"/>
      <c r="E70" s="21"/>
      <c r="F70" s="21"/>
      <c r="G70" s="21"/>
      <c r="H70" s="24"/>
    </row>
    <row r="71" spans="1:8" ht="15">
      <c r="A71" s="23"/>
      <c r="B71" s="22"/>
      <c r="C71" s="22"/>
      <c r="D71" s="22"/>
      <c r="E71" s="22"/>
      <c r="F71" s="22"/>
      <c r="G71" s="22"/>
      <c r="H71" s="24"/>
    </row>
    <row r="72" spans="1:8" ht="15">
      <c r="A72" s="23"/>
      <c r="B72" s="21"/>
      <c r="C72" s="21"/>
      <c r="D72" s="21"/>
      <c r="E72" s="21"/>
      <c r="F72" s="21"/>
      <c r="G72" s="21"/>
      <c r="H72" s="24"/>
    </row>
    <row r="73" spans="1:8" ht="15">
      <c r="A73" s="23"/>
      <c r="B73" s="22"/>
      <c r="C73" s="22"/>
      <c r="D73" s="22"/>
      <c r="E73" s="22"/>
      <c r="F73" s="22"/>
      <c r="G73" s="22"/>
      <c r="H73" s="24"/>
    </row>
    <row r="74" spans="1:8" ht="15">
      <c r="A74" s="23"/>
      <c r="B74" s="21"/>
      <c r="C74" s="21"/>
      <c r="D74" s="21"/>
      <c r="E74" s="21"/>
      <c r="F74" s="21"/>
      <c r="G74" s="21"/>
      <c r="H74" s="24"/>
    </row>
    <row r="75" spans="1:8" ht="15">
      <c r="A75" s="23"/>
      <c r="B75" s="22"/>
      <c r="C75" s="22"/>
      <c r="D75" s="22"/>
      <c r="E75" s="22"/>
      <c r="F75" s="22"/>
      <c r="G75" s="22"/>
      <c r="H75" s="24"/>
    </row>
    <row r="76" spans="1:8" ht="15">
      <c r="A76" s="23"/>
      <c r="B76" s="21"/>
      <c r="C76" s="21"/>
      <c r="D76" s="21"/>
      <c r="E76" s="21"/>
      <c r="F76" s="21"/>
      <c r="G76" s="21"/>
      <c r="H76" s="24"/>
    </row>
    <row r="77" spans="1:8" ht="15">
      <c r="A77" s="23"/>
      <c r="B77" s="22"/>
      <c r="C77" s="22"/>
      <c r="D77" s="22"/>
      <c r="E77" s="22"/>
      <c r="F77" s="22"/>
      <c r="G77" s="22"/>
      <c r="H77" s="24"/>
    </row>
    <row r="78" spans="1:8" ht="15">
      <c r="A78" s="23"/>
      <c r="B78" s="21"/>
      <c r="C78" s="21"/>
      <c r="D78" s="21"/>
      <c r="E78" s="21"/>
      <c r="F78" s="21"/>
      <c r="G78" s="21"/>
      <c r="H78" s="24"/>
    </row>
    <row r="79" spans="1:8" ht="15">
      <c r="A79" s="23"/>
      <c r="B79" s="22"/>
      <c r="C79" s="22"/>
      <c r="D79" s="22"/>
      <c r="E79" s="22"/>
      <c r="F79" s="22"/>
      <c r="G79" s="22"/>
      <c r="H79" s="24"/>
    </row>
    <row r="80" spans="1:8" ht="15">
      <c r="A80" s="23"/>
      <c r="B80" s="21"/>
      <c r="C80" s="21"/>
      <c r="D80" s="21"/>
      <c r="E80" s="21"/>
      <c r="F80" s="21"/>
      <c r="G80" s="21"/>
      <c r="H80" s="24"/>
    </row>
    <row r="81" spans="1:8" ht="15">
      <c r="A81" s="23"/>
      <c r="B81" s="22"/>
      <c r="C81" s="22"/>
      <c r="D81" s="22"/>
      <c r="E81" s="22"/>
      <c r="F81" s="22"/>
      <c r="G81" s="22"/>
      <c r="H81" s="24"/>
    </row>
    <row r="82" spans="1:8" ht="15">
      <c r="A82" s="23"/>
      <c r="B82" s="21"/>
      <c r="C82" s="21"/>
      <c r="D82" s="21"/>
      <c r="E82" s="21"/>
      <c r="F82" s="21"/>
      <c r="G82" s="21"/>
      <c r="H82" s="24"/>
    </row>
    <row r="83" spans="1:8" ht="15">
      <c r="A83" s="23"/>
      <c r="B83" s="22"/>
      <c r="C83" s="22"/>
      <c r="D83" s="22"/>
      <c r="E83" s="22"/>
      <c r="F83" s="22"/>
      <c r="G83" s="22"/>
      <c r="H83" s="24"/>
    </row>
    <row r="84" spans="1:8" ht="15">
      <c r="A84" s="23"/>
      <c r="B84" s="21"/>
      <c r="C84" s="21"/>
      <c r="D84" s="21"/>
      <c r="E84" s="21"/>
      <c r="F84" s="21"/>
      <c r="G84" s="21"/>
      <c r="H84" s="24"/>
    </row>
    <row r="85" spans="1:8" ht="15">
      <c r="A85" s="23"/>
      <c r="B85" s="22"/>
      <c r="C85" s="22"/>
      <c r="D85" s="22"/>
      <c r="E85" s="22"/>
      <c r="F85" s="22"/>
      <c r="G85" s="22"/>
      <c r="H85" s="24"/>
    </row>
    <row r="86" spans="1:8" ht="15">
      <c r="A86" s="23"/>
      <c r="B86" s="21"/>
      <c r="C86" s="21"/>
      <c r="D86" s="21"/>
      <c r="E86" s="21"/>
      <c r="F86" s="21"/>
      <c r="G86" s="21"/>
      <c r="H86" s="24"/>
    </row>
    <row r="87" spans="1:8" ht="15">
      <c r="A87" s="23"/>
      <c r="B87" s="22"/>
      <c r="C87" s="22"/>
      <c r="D87" s="22"/>
      <c r="E87" s="22"/>
      <c r="F87" s="22"/>
      <c r="G87" s="22"/>
      <c r="H87" s="24"/>
    </row>
    <row r="88" spans="1:8" ht="15">
      <c r="A88" s="23"/>
      <c r="B88" s="21"/>
      <c r="C88" s="21"/>
      <c r="D88" s="21"/>
      <c r="E88" s="21"/>
      <c r="F88" s="21"/>
      <c r="G88" s="21"/>
      <c r="H88" s="24"/>
    </row>
    <row r="89" spans="1:8" ht="15">
      <c r="A89" s="23"/>
      <c r="B89" s="22"/>
      <c r="C89" s="22"/>
      <c r="D89" s="22"/>
      <c r="E89" s="22"/>
      <c r="F89" s="22"/>
      <c r="G89" s="22"/>
      <c r="H89" s="24"/>
    </row>
    <row r="90" spans="1:8" ht="15">
      <c r="A90" s="23"/>
      <c r="B90" s="21"/>
      <c r="C90" s="21"/>
      <c r="D90" s="21"/>
      <c r="E90" s="21"/>
      <c r="F90" s="21"/>
      <c r="G90" s="21"/>
      <c r="H90" s="24"/>
    </row>
    <row r="91" spans="1:8" ht="15">
      <c r="A91" s="23"/>
      <c r="B91" s="22"/>
      <c r="C91" s="22"/>
      <c r="D91" s="22"/>
      <c r="E91" s="22"/>
      <c r="F91" s="22"/>
      <c r="G91" s="22"/>
      <c r="H91" s="24"/>
    </row>
    <row r="92" spans="1:8" ht="15">
      <c r="A92" s="23"/>
      <c r="B92" s="21"/>
      <c r="C92" s="21"/>
      <c r="D92" s="21"/>
      <c r="E92" s="21"/>
      <c r="F92" s="21"/>
      <c r="G92" s="21"/>
      <c r="H92" s="24"/>
    </row>
    <row r="93" spans="1:8" ht="15">
      <c r="A93" s="23"/>
      <c r="B93" s="22"/>
      <c r="C93" s="22"/>
      <c r="D93" s="22"/>
      <c r="E93" s="22"/>
      <c r="F93" s="22"/>
      <c r="G93" s="22"/>
      <c r="H93" s="24"/>
    </row>
    <row r="94" spans="1:8" ht="15">
      <c r="A94" s="23"/>
      <c r="B94" s="21"/>
      <c r="C94" s="21"/>
      <c r="D94" s="21"/>
      <c r="E94" s="21"/>
      <c r="F94" s="21"/>
      <c r="G94" s="21"/>
      <c r="H94" s="24"/>
    </row>
    <row r="95" spans="1:8" ht="15">
      <c r="A95" s="23"/>
      <c r="B95" s="22"/>
      <c r="C95" s="22"/>
      <c r="D95" s="22"/>
      <c r="E95" s="22"/>
      <c r="F95" s="22"/>
      <c r="G95" s="22"/>
      <c r="H95" s="24"/>
    </row>
  </sheetData>
  <mergeCells count="11">
    <mergeCell ref="A52:A95"/>
    <mergeCell ref="H52:H95"/>
    <mergeCell ref="A1:A7"/>
    <mergeCell ref="A8:A51"/>
    <mergeCell ref="H1:H50"/>
    <mergeCell ref="B1:G1"/>
    <mergeCell ref="C2:G2"/>
    <mergeCell ref="C3:G3"/>
    <mergeCell ref="C4:G4"/>
    <mergeCell ref="C5:G5"/>
    <mergeCell ref="C6:G6"/>
  </mergeCells>
  <conditionalFormatting sqref="C2:G6">
    <cfRule type="notContainsBlanks" dxfId="5" priority="28">
      <formula>LEN(TRIM(C2))&gt;0</formula>
    </cfRule>
  </conditionalFormatting>
  <conditionalFormatting sqref="C52:C54">
    <cfRule type="duplicateValues" dxfId="1" priority="2" stopIfTrue="1"/>
  </conditionalFormatting>
  <conditionalFormatting sqref="C8:C10">
    <cfRule type="duplicateValues" dxfId="0" priority="1" stopIfTrue="1"/>
  </conditionalFormatting>
  <pageMargins left="0.511811024" right="0.511811024" top="0.78740157499999996" bottom="0.78740157499999996" header="0.31496062000000002" footer="0.31496062000000002"/>
  <pageSetup paperSize="9" orientation="portrait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>
    <tabColor rgb="FF00B050"/>
    <pageSetUpPr fitToPage="1"/>
  </sheetPr>
  <dimension ref="A1:M49"/>
  <sheetViews>
    <sheetView showGridLines="0" view="pageBreakPreview" zoomScaleNormal="70" zoomScaleSheetLayoutView="100" workbookViewId="0">
      <selection activeCell="H4" sqref="H4"/>
    </sheetView>
  </sheetViews>
  <sheetFormatPr defaultColWidth="9" defaultRowHeight="24.95" customHeight="1"/>
  <cols>
    <col min="1" max="1" width="3.5703125" customWidth="1"/>
    <col min="2" max="2" width="24.28515625" style="1" customWidth="1"/>
    <col min="3" max="3" width="15" style="1" customWidth="1"/>
    <col min="4" max="5" width="13.7109375" style="1" customWidth="1"/>
    <col min="6" max="6" width="19.140625" style="1" customWidth="1"/>
    <col min="7" max="7" width="10.7109375" style="1" customWidth="1"/>
    <col min="8" max="8" width="15.5703125" style="1" customWidth="1"/>
    <col min="9" max="9" width="18" style="1" customWidth="1"/>
    <col min="10" max="10" width="13.140625" style="1" customWidth="1"/>
    <col min="11" max="11" width="15.28515625" style="1" customWidth="1"/>
    <col min="12" max="12" width="19.140625" style="1" customWidth="1"/>
    <col min="13" max="13" width="4.5703125" style="1" customWidth="1"/>
    <col min="14" max="16384" width="9" style="1"/>
  </cols>
  <sheetData>
    <row r="1" spans="2:13" s="2" customFormat="1" ht="55.9" customHeight="1">
      <c r="B1" s="3"/>
      <c r="C1" s="44" t="s">
        <v>12</v>
      </c>
      <c r="D1" s="44"/>
      <c r="E1" s="44"/>
      <c r="F1" s="44"/>
      <c r="G1" s="44"/>
      <c r="H1" s="44"/>
      <c r="I1" s="44"/>
      <c r="J1" s="44"/>
      <c r="K1" s="44"/>
      <c r="L1" s="45"/>
      <c r="M1" s="4"/>
    </row>
    <row r="2" spans="2:13" s="1" customFormat="1" ht="25.5" customHeight="1">
      <c r="B2" s="47" t="str">
        <f>CONCATENATE("Código: ", PREENCHER!B8)</f>
        <v xml:space="preserve">Código: </v>
      </c>
      <c r="C2" s="47"/>
      <c r="D2" s="47"/>
      <c r="E2" s="48" t="str">
        <f>CONCATENATE("OP: ", PREENCHER!C3)</f>
        <v xml:space="preserve">OP: </v>
      </c>
      <c r="F2" s="48"/>
      <c r="G2" s="48"/>
      <c r="H2" s="5" t="str">
        <f>CONCATENATE("Quant.: ", PREENCHER!C4)</f>
        <v xml:space="preserve">Quant.: </v>
      </c>
      <c r="I2" s="48" t="str">
        <f>CONCATENATE("Cliente: ",PREENCHER!C2)</f>
        <v xml:space="preserve">Cliente: </v>
      </c>
      <c r="J2" s="48"/>
      <c r="K2" s="6"/>
      <c r="L2" s="6"/>
      <c r="M2" s="6"/>
    </row>
    <row r="3" spans="2:13" s="1" customFormat="1" ht="25.5" customHeight="1">
      <c r="B3" s="7"/>
      <c r="C3" s="49" t="s">
        <v>13</v>
      </c>
      <c r="D3" s="49"/>
      <c r="E3" s="49"/>
      <c r="F3" s="49"/>
      <c r="G3" s="50" t="s">
        <v>14</v>
      </c>
      <c r="H3" s="51"/>
      <c r="I3" s="51"/>
      <c r="J3" s="41" t="s">
        <v>15</v>
      </c>
      <c r="K3" s="42"/>
      <c r="L3" s="43"/>
      <c r="M3" s="6"/>
    </row>
    <row r="4" spans="2:13" s="1" customFormat="1" ht="32.25" customHeight="1">
      <c r="B4" s="7" t="s">
        <v>16</v>
      </c>
      <c r="C4" s="8" t="s">
        <v>17</v>
      </c>
      <c r="D4" s="8" t="s">
        <v>18</v>
      </c>
      <c r="E4" s="52" t="s">
        <v>19</v>
      </c>
      <c r="F4" s="53"/>
      <c r="G4" s="7" t="s">
        <v>20</v>
      </c>
      <c r="H4" s="7" t="s">
        <v>21</v>
      </c>
      <c r="I4" s="7" t="s">
        <v>22</v>
      </c>
      <c r="J4" s="7" t="s">
        <v>20</v>
      </c>
      <c r="K4" s="7" t="s">
        <v>21</v>
      </c>
      <c r="L4" s="7" t="s">
        <v>23</v>
      </c>
      <c r="M4" s="6"/>
    </row>
    <row r="5" spans="2:13" s="1" customFormat="1" ht="25.5" customHeight="1">
      <c r="B5" s="10" t="str">
        <f>TRIM(IF(PREENCHER!$C8=0,"",PREENCHER!$C8))</f>
        <v/>
      </c>
      <c r="C5" s="11" t="str">
        <f>IFERROR(LEFT(PREENCHER!$D8,(SEARCH(" ",PREENCHER!$D8,1)-1)),"")</f>
        <v/>
      </c>
      <c r="D5" s="11">
        <f>PREENCHER!$G8</f>
        <v>0</v>
      </c>
      <c r="E5" s="39"/>
      <c r="F5" s="40"/>
      <c r="G5" s="12" t="str">
        <f>IF(B5&lt;&gt;"",PREENCHER!$C$5,"/")</f>
        <v>/</v>
      </c>
      <c r="H5" s="13" t="str">
        <f>IF(B5&lt;&gt;"",PREENCHER!$C$6,":")</f>
        <v>:</v>
      </c>
      <c r="I5" s="9"/>
      <c r="J5" s="9"/>
      <c r="K5" s="9" t="s">
        <v>24</v>
      </c>
      <c r="L5" s="9"/>
      <c r="M5" s="6"/>
    </row>
    <row r="6" spans="2:13" s="1" customFormat="1" ht="25.5" customHeight="1">
      <c r="B6" s="10" t="str">
        <f>TRIM(IF(PREENCHER!$C9=0,"",PREENCHER!$C9))</f>
        <v/>
      </c>
      <c r="C6" s="11" t="str">
        <f>IFERROR(LEFT(PREENCHER!$D9,(SEARCH(" ",PREENCHER!$D9,1)-1)),"")</f>
        <v/>
      </c>
      <c r="D6" s="11">
        <f>PREENCHER!$G9</f>
        <v>0</v>
      </c>
      <c r="E6" s="39"/>
      <c r="F6" s="40"/>
      <c r="G6" s="12" t="str">
        <f>IF(B6&lt;&gt;"",PREENCHER!$C$5,"/")</f>
        <v>/</v>
      </c>
      <c r="H6" s="13" t="str">
        <f>IF(B6&lt;&gt;"",PREENCHER!$C$6,":")</f>
        <v>:</v>
      </c>
      <c r="I6" s="9"/>
      <c r="J6" s="9"/>
      <c r="K6" s="9" t="s">
        <v>24</v>
      </c>
      <c r="L6" s="9"/>
      <c r="M6" s="6"/>
    </row>
    <row r="7" spans="2:13" s="1" customFormat="1" ht="25.5" customHeight="1">
      <c r="B7" s="10" t="str">
        <f>TRIM(IF(PREENCHER!$C10=0,"",PREENCHER!$C10))</f>
        <v/>
      </c>
      <c r="C7" s="11" t="str">
        <f>IFERROR(LEFT(PREENCHER!$D10,(SEARCH(" ",PREENCHER!$D10,1)-1)),"")</f>
        <v/>
      </c>
      <c r="D7" s="11">
        <f>PREENCHER!$G10</f>
        <v>0</v>
      </c>
      <c r="E7" s="39"/>
      <c r="F7" s="40"/>
      <c r="G7" s="12" t="str">
        <f>IF(B7&lt;&gt;"",PREENCHER!$C$5,"/")</f>
        <v>/</v>
      </c>
      <c r="H7" s="13" t="str">
        <f>IF(B7&lt;&gt;"",PREENCHER!$C$6,":")</f>
        <v>:</v>
      </c>
      <c r="I7" s="9"/>
      <c r="J7" s="9"/>
      <c r="K7" s="9" t="s">
        <v>24</v>
      </c>
      <c r="L7" s="9"/>
      <c r="M7" s="6"/>
    </row>
    <row r="8" spans="2:13" s="1" customFormat="1" ht="25.5" customHeight="1">
      <c r="B8" s="10" t="str">
        <f>TRIM(IF(PREENCHER!$C11=0,"",PREENCHER!$C11))</f>
        <v/>
      </c>
      <c r="C8" s="11" t="str">
        <f>IFERROR(LEFT(PREENCHER!$D11,(SEARCH(" ",PREENCHER!$D11,1)-1)),"")</f>
        <v/>
      </c>
      <c r="D8" s="11">
        <f>PREENCHER!$G11</f>
        <v>0</v>
      </c>
      <c r="E8" s="39"/>
      <c r="F8" s="40"/>
      <c r="G8" s="12" t="str">
        <f>IF(B8&lt;&gt;"",PREENCHER!$C$5,"/")</f>
        <v>/</v>
      </c>
      <c r="H8" s="13" t="str">
        <f>IF(B8&lt;&gt;"",PREENCHER!$C$6,":")</f>
        <v>:</v>
      </c>
      <c r="I8" s="9"/>
      <c r="J8" s="9"/>
      <c r="K8" s="9" t="s">
        <v>24</v>
      </c>
      <c r="L8" s="9"/>
      <c r="M8" s="6"/>
    </row>
    <row r="9" spans="2:13" s="1" customFormat="1" ht="25.5" customHeight="1">
      <c r="B9" s="10" t="str">
        <f>TRIM(IF(PREENCHER!$C12=0,"",PREENCHER!$C12))</f>
        <v/>
      </c>
      <c r="C9" s="11" t="str">
        <f>IFERROR(LEFT(PREENCHER!$D12,(SEARCH(" ",PREENCHER!$D12,1)-1)),"")</f>
        <v/>
      </c>
      <c r="D9" s="11">
        <f>PREENCHER!$G12</f>
        <v>0</v>
      </c>
      <c r="E9" s="39"/>
      <c r="F9" s="40"/>
      <c r="G9" s="12" t="str">
        <f>IF(B9&lt;&gt;"",PREENCHER!$C$5,"/")</f>
        <v>/</v>
      </c>
      <c r="H9" s="13" t="str">
        <f>IF(B9&lt;&gt;"",PREENCHER!$C$6,":")</f>
        <v>:</v>
      </c>
      <c r="I9" s="9"/>
      <c r="J9" s="9"/>
      <c r="K9" s="9" t="s">
        <v>24</v>
      </c>
      <c r="L9" s="9"/>
      <c r="M9" s="6"/>
    </row>
    <row r="10" spans="2:13" s="1" customFormat="1" ht="25.5" customHeight="1">
      <c r="B10" s="10" t="str">
        <f>TRIM(IF(PREENCHER!$C13=0,"",PREENCHER!$C13))</f>
        <v/>
      </c>
      <c r="C10" s="11" t="str">
        <f>IFERROR(LEFT(PREENCHER!$D13,(SEARCH(" ",PREENCHER!$D13,1)-1)),"")</f>
        <v/>
      </c>
      <c r="D10" s="11">
        <f>PREENCHER!$G13</f>
        <v>0</v>
      </c>
      <c r="E10" s="39"/>
      <c r="F10" s="40"/>
      <c r="G10" s="12" t="str">
        <f>IF(B10&lt;&gt;"",PREENCHER!$C$5,"/")</f>
        <v>/</v>
      </c>
      <c r="H10" s="13" t="str">
        <f>IF(B10&lt;&gt;"",PREENCHER!$C$6,":")</f>
        <v>:</v>
      </c>
      <c r="I10" s="9"/>
      <c r="J10" s="9"/>
      <c r="K10" s="9" t="s">
        <v>24</v>
      </c>
      <c r="L10" s="9"/>
      <c r="M10" s="6"/>
    </row>
    <row r="11" spans="2:13" s="1" customFormat="1" ht="25.5" customHeight="1">
      <c r="B11" s="10" t="str">
        <f>TRIM(IF(PREENCHER!$C14=0,"",PREENCHER!$C14))</f>
        <v/>
      </c>
      <c r="C11" s="11" t="str">
        <f>IFERROR(LEFT(PREENCHER!$D14,(SEARCH(" ",PREENCHER!$D14,1)-1)),"")</f>
        <v/>
      </c>
      <c r="D11" s="11">
        <f>PREENCHER!$G14</f>
        <v>0</v>
      </c>
      <c r="E11" s="39"/>
      <c r="F11" s="40"/>
      <c r="G11" s="12" t="str">
        <f>IF(B11&lt;&gt;"",PREENCHER!$C$5,"/")</f>
        <v>/</v>
      </c>
      <c r="H11" s="13" t="str">
        <f>IF(B11&lt;&gt;"",PREENCHER!$C$6,":")</f>
        <v>:</v>
      </c>
      <c r="I11" s="9"/>
      <c r="J11" s="9"/>
      <c r="K11" s="9" t="s">
        <v>24</v>
      </c>
      <c r="L11" s="9"/>
      <c r="M11" s="6"/>
    </row>
    <row r="12" spans="2:13" s="1" customFormat="1" ht="25.5" customHeight="1">
      <c r="B12" s="10" t="str">
        <f>TRIM(IF(PREENCHER!$C15=0,"",PREENCHER!$C15))</f>
        <v/>
      </c>
      <c r="C12" s="11" t="str">
        <f>IFERROR(LEFT(PREENCHER!$D15,(SEARCH(" ",PREENCHER!$D15,1)-1)),"")</f>
        <v/>
      </c>
      <c r="D12" s="11">
        <f>PREENCHER!$G15</f>
        <v>0</v>
      </c>
      <c r="E12" s="39"/>
      <c r="F12" s="40"/>
      <c r="G12" s="12" t="str">
        <f>IF(B12&lt;&gt;"",PREENCHER!$C$5,"/")</f>
        <v>/</v>
      </c>
      <c r="H12" s="13" t="str">
        <f>IF(B12&lt;&gt;"",PREENCHER!$C$6,":")</f>
        <v>:</v>
      </c>
      <c r="I12" s="9"/>
      <c r="J12" s="9"/>
      <c r="K12" s="9" t="s">
        <v>24</v>
      </c>
      <c r="L12" s="9"/>
      <c r="M12" s="6"/>
    </row>
    <row r="13" spans="2:13" s="1" customFormat="1" ht="25.5" customHeight="1">
      <c r="B13" s="10" t="str">
        <f>TRIM(IF(PREENCHER!$C16=0,"",PREENCHER!$C16))</f>
        <v/>
      </c>
      <c r="C13" s="11" t="str">
        <f>IFERROR(LEFT(PREENCHER!$D16,(SEARCH(" ",PREENCHER!$D16,1)-1)),"")</f>
        <v/>
      </c>
      <c r="D13" s="11">
        <f>PREENCHER!$G16</f>
        <v>0</v>
      </c>
      <c r="E13" s="39"/>
      <c r="F13" s="40"/>
      <c r="G13" s="12" t="str">
        <f>IF(B13&lt;&gt;"",PREENCHER!$C$5,"/")</f>
        <v>/</v>
      </c>
      <c r="H13" s="13" t="str">
        <f>IF(B13&lt;&gt;"",PREENCHER!$C$6,":")</f>
        <v>:</v>
      </c>
      <c r="I13" s="9"/>
      <c r="J13" s="9"/>
      <c r="K13" s="9" t="s">
        <v>24</v>
      </c>
      <c r="L13" s="9"/>
      <c r="M13" s="6"/>
    </row>
    <row r="14" spans="2:13" s="1" customFormat="1" ht="25.5" customHeight="1">
      <c r="B14" s="10" t="str">
        <f>TRIM(IF(PREENCHER!$C17=0,"",PREENCHER!$C17))</f>
        <v/>
      </c>
      <c r="C14" s="11" t="str">
        <f>IFERROR(LEFT(PREENCHER!$D17,(SEARCH(" ",PREENCHER!$D17,1)-1)),"")</f>
        <v/>
      </c>
      <c r="D14" s="11">
        <f>PREENCHER!$G17</f>
        <v>0</v>
      </c>
      <c r="E14" s="39"/>
      <c r="F14" s="40"/>
      <c r="G14" s="12" t="str">
        <f>IF(B14&lt;&gt;"",PREENCHER!$C$5,"/")</f>
        <v>/</v>
      </c>
      <c r="H14" s="13" t="str">
        <f>IF(B14&lt;&gt;"",PREENCHER!$C$6,":")</f>
        <v>:</v>
      </c>
      <c r="I14" s="9"/>
      <c r="J14" s="9"/>
      <c r="K14" s="9" t="s">
        <v>24</v>
      </c>
      <c r="L14" s="9"/>
      <c r="M14" s="6"/>
    </row>
    <row r="15" spans="2:13" s="1" customFormat="1" ht="25.5" customHeight="1">
      <c r="B15" s="10" t="str">
        <f>TRIM(IF(PREENCHER!$C18=0,"",PREENCHER!$C18))</f>
        <v/>
      </c>
      <c r="C15" s="11" t="str">
        <f>IFERROR(LEFT(PREENCHER!$D18,(SEARCH(" ",PREENCHER!$D18,1)-1)),"")</f>
        <v/>
      </c>
      <c r="D15" s="11">
        <f>PREENCHER!$G18</f>
        <v>0</v>
      </c>
      <c r="E15" s="39"/>
      <c r="F15" s="40"/>
      <c r="G15" s="12" t="str">
        <f>IF(B15&lt;&gt;"",PREENCHER!$C$5,"/")</f>
        <v>/</v>
      </c>
      <c r="H15" s="13" t="str">
        <f>IF(B15&lt;&gt;"",PREENCHER!$C$6,":")</f>
        <v>:</v>
      </c>
      <c r="I15" s="9"/>
      <c r="J15" s="9"/>
      <c r="K15" s="9" t="s">
        <v>24</v>
      </c>
      <c r="L15" s="9"/>
      <c r="M15" s="6"/>
    </row>
    <row r="16" spans="2:13" s="1" customFormat="1" ht="25.5" customHeight="1">
      <c r="B16" s="10" t="str">
        <f>TRIM(IF(PREENCHER!$C19=0,"",PREENCHER!$C19))</f>
        <v/>
      </c>
      <c r="C16" s="11" t="str">
        <f>IFERROR(LEFT(PREENCHER!$D19,(SEARCH(" ",PREENCHER!$D19,1)-1)),"")</f>
        <v/>
      </c>
      <c r="D16" s="11">
        <f>PREENCHER!$G19</f>
        <v>0</v>
      </c>
      <c r="E16" s="39"/>
      <c r="F16" s="40"/>
      <c r="G16" s="12" t="str">
        <f>IF(B16&lt;&gt;"",PREENCHER!$C$5,"/")</f>
        <v>/</v>
      </c>
      <c r="H16" s="13" t="str">
        <f>IF(B16&lt;&gt;"",PREENCHER!$C$6,":")</f>
        <v>:</v>
      </c>
      <c r="I16" s="9"/>
      <c r="J16" s="9"/>
      <c r="K16" s="9" t="s">
        <v>24</v>
      </c>
      <c r="L16" s="9"/>
      <c r="M16" s="6"/>
    </row>
    <row r="17" spans="2:13" s="1" customFormat="1" ht="25.5" customHeight="1">
      <c r="B17" s="10" t="str">
        <f>TRIM(IF(PREENCHER!$C20=0,"",PREENCHER!$C20))</f>
        <v/>
      </c>
      <c r="C17" s="11" t="str">
        <f>IFERROR(LEFT(PREENCHER!$D20,(SEARCH(" ",PREENCHER!$D20,1)-1)),"")</f>
        <v/>
      </c>
      <c r="D17" s="11">
        <f>PREENCHER!$G20</f>
        <v>0</v>
      </c>
      <c r="E17" s="39"/>
      <c r="F17" s="40"/>
      <c r="G17" s="12" t="str">
        <f>IF(B17&lt;&gt;"",PREENCHER!$C$5,"/")</f>
        <v>/</v>
      </c>
      <c r="H17" s="13" t="str">
        <f>IF(B17&lt;&gt;"",PREENCHER!$C$6,":")</f>
        <v>:</v>
      </c>
      <c r="I17" s="9"/>
      <c r="J17" s="9"/>
      <c r="K17" s="9" t="s">
        <v>24</v>
      </c>
      <c r="L17" s="9"/>
      <c r="M17" s="6"/>
    </row>
    <row r="18" spans="2:13" s="1" customFormat="1" ht="25.5" customHeight="1">
      <c r="B18" s="10" t="str">
        <f>TRIM(IF(PREENCHER!$C21=0,"",PREENCHER!$C21))</f>
        <v/>
      </c>
      <c r="C18" s="11" t="str">
        <f>IFERROR(LEFT(PREENCHER!$D21,(SEARCH(" ",PREENCHER!$D21,1)-1)),"")</f>
        <v/>
      </c>
      <c r="D18" s="11">
        <f>PREENCHER!$G21</f>
        <v>0</v>
      </c>
      <c r="E18" s="39"/>
      <c r="F18" s="40"/>
      <c r="G18" s="12" t="str">
        <f>IF(B18&lt;&gt;"",PREENCHER!$C$5,"/")</f>
        <v>/</v>
      </c>
      <c r="H18" s="13" t="str">
        <f>IF(B18&lt;&gt;"",PREENCHER!$C$6,":")</f>
        <v>:</v>
      </c>
      <c r="I18" s="9"/>
      <c r="J18" s="9"/>
      <c r="K18" s="9" t="s">
        <v>24</v>
      </c>
      <c r="L18" s="9"/>
      <c r="M18" s="6"/>
    </row>
    <row r="19" spans="2:13" s="1" customFormat="1" ht="25.5" customHeight="1">
      <c r="B19" s="10" t="str">
        <f>TRIM(IF(PREENCHER!$C22=0,"",PREENCHER!$C22))</f>
        <v/>
      </c>
      <c r="C19" s="11" t="str">
        <f>IFERROR(LEFT(PREENCHER!$D22,(SEARCH(" ",PREENCHER!$D22,1)-1)),"")</f>
        <v/>
      </c>
      <c r="D19" s="11">
        <f>PREENCHER!$G22</f>
        <v>0</v>
      </c>
      <c r="E19" s="39"/>
      <c r="F19" s="40"/>
      <c r="G19" s="12" t="str">
        <f>IF(B19&lt;&gt;"",PREENCHER!$C$5,"/")</f>
        <v>/</v>
      </c>
      <c r="H19" s="13" t="str">
        <f>IF(B19&lt;&gt;"",PREENCHER!$C$6,":")</f>
        <v>:</v>
      </c>
      <c r="I19" s="9"/>
      <c r="J19" s="9"/>
      <c r="K19" s="9" t="s">
        <v>24</v>
      </c>
      <c r="L19" s="9"/>
      <c r="M19" s="6"/>
    </row>
    <row r="20" spans="2:13" s="1" customFormat="1" ht="25.5" customHeight="1">
      <c r="B20" s="10" t="str">
        <f>TRIM(IF(PREENCHER!$C23=0,"",PREENCHER!$C23))</f>
        <v/>
      </c>
      <c r="C20" s="11" t="str">
        <f>IFERROR(LEFT(PREENCHER!$D23,(SEARCH(" ",PREENCHER!$D23,1)-1)),"")</f>
        <v/>
      </c>
      <c r="D20" s="11">
        <f>PREENCHER!$G23</f>
        <v>0</v>
      </c>
      <c r="E20" s="39"/>
      <c r="F20" s="40"/>
      <c r="G20" s="12" t="str">
        <f>IF(B20&lt;&gt;"",PREENCHER!$C$5,"/")</f>
        <v>/</v>
      </c>
      <c r="H20" s="13" t="str">
        <f>IF(B20&lt;&gt;"",PREENCHER!$C$6,":")</f>
        <v>:</v>
      </c>
      <c r="I20" s="9"/>
      <c r="J20" s="9"/>
      <c r="K20" s="9" t="s">
        <v>24</v>
      </c>
      <c r="L20" s="9"/>
      <c r="M20" s="6"/>
    </row>
    <row r="21" spans="2:13" s="1" customFormat="1" ht="25.5" customHeight="1">
      <c r="B21" s="10" t="str">
        <f>TRIM(IF(PREENCHER!$C24=0,"",PREENCHER!$C24))</f>
        <v/>
      </c>
      <c r="C21" s="11" t="str">
        <f>IFERROR(LEFT(PREENCHER!$D24,(SEARCH(" ",PREENCHER!$D24,1)-1)),"")</f>
        <v/>
      </c>
      <c r="D21" s="11">
        <f>PREENCHER!$G24</f>
        <v>0</v>
      </c>
      <c r="E21" s="39"/>
      <c r="F21" s="40"/>
      <c r="G21" s="12" t="str">
        <f>IF(B21&lt;&gt;"",PREENCHER!$C$5,"/")</f>
        <v>/</v>
      </c>
      <c r="H21" s="13" t="str">
        <f>IF(B21&lt;&gt;"",PREENCHER!$C$6,":")</f>
        <v>:</v>
      </c>
      <c r="I21" s="9"/>
      <c r="J21" s="9"/>
      <c r="K21" s="9" t="s">
        <v>24</v>
      </c>
      <c r="L21" s="9"/>
      <c r="M21" s="6"/>
    </row>
    <row r="22" spans="2:13" s="1" customFormat="1" ht="25.5" customHeight="1">
      <c r="B22" s="10" t="str">
        <f>TRIM(IF(PREENCHER!$C25=0,"",PREENCHER!$C25))</f>
        <v/>
      </c>
      <c r="C22" s="11" t="str">
        <f>IFERROR(LEFT(PREENCHER!$D25,(SEARCH(" ",PREENCHER!$D25,1)-1)),"")</f>
        <v/>
      </c>
      <c r="D22" s="11">
        <f>PREENCHER!$G25</f>
        <v>0</v>
      </c>
      <c r="E22" s="39"/>
      <c r="F22" s="40"/>
      <c r="G22" s="12" t="str">
        <f>IF(B22&lt;&gt;"",PREENCHER!$C$5,"/")</f>
        <v>/</v>
      </c>
      <c r="H22" s="13" t="str">
        <f>IF(B22&lt;&gt;"",PREENCHER!$C$6,":")</f>
        <v>:</v>
      </c>
      <c r="I22" s="9"/>
      <c r="J22" s="9"/>
      <c r="K22" s="9" t="s">
        <v>24</v>
      </c>
      <c r="L22" s="9"/>
      <c r="M22" s="6"/>
    </row>
    <row r="23" spans="2:13" s="1" customFormat="1" ht="25.5" customHeight="1">
      <c r="B23" s="10" t="str">
        <f>TRIM(IF(PREENCHER!$C26=0,"",PREENCHER!$C26))</f>
        <v/>
      </c>
      <c r="C23" s="11" t="str">
        <f>IFERROR(LEFT(PREENCHER!$D26,(SEARCH(" ",PREENCHER!$D26,1)-1)),"")</f>
        <v/>
      </c>
      <c r="D23" s="11">
        <f>PREENCHER!$G26</f>
        <v>0</v>
      </c>
      <c r="E23" s="39"/>
      <c r="F23" s="40"/>
      <c r="G23" s="12" t="str">
        <f>IF(B23&lt;&gt;"",PREENCHER!$C$5,"/")</f>
        <v>/</v>
      </c>
      <c r="H23" s="13" t="str">
        <f>IF(B23&lt;&gt;"",PREENCHER!$C$6,":")</f>
        <v>:</v>
      </c>
      <c r="I23" s="9"/>
      <c r="J23" s="9"/>
      <c r="K23" s="9" t="s">
        <v>24</v>
      </c>
      <c r="L23" s="9"/>
      <c r="M23" s="6"/>
    </row>
    <row r="24" spans="2:13" s="1" customFormat="1" ht="25.5" customHeight="1">
      <c r="B24" s="10" t="str">
        <f>TRIM(IF(PREENCHER!$C27=0,"",PREENCHER!$C27))</f>
        <v/>
      </c>
      <c r="C24" s="11" t="str">
        <f>IFERROR(LEFT(PREENCHER!$D27,(SEARCH(" ",PREENCHER!$D27,1)-1)),"")</f>
        <v/>
      </c>
      <c r="D24" s="11">
        <f>PREENCHER!$G27</f>
        <v>0</v>
      </c>
      <c r="E24" s="39"/>
      <c r="F24" s="40"/>
      <c r="G24" s="12" t="str">
        <f>IF(B24&lt;&gt;"",PREENCHER!$C$5,"/")</f>
        <v>/</v>
      </c>
      <c r="H24" s="13" t="str">
        <f>IF(B24&lt;&gt;"",PREENCHER!$C$6,":")</f>
        <v>:</v>
      </c>
      <c r="I24" s="9"/>
      <c r="J24" s="9"/>
      <c r="K24" s="9" t="s">
        <v>24</v>
      </c>
      <c r="L24" s="9"/>
      <c r="M24" s="6"/>
    </row>
    <row r="25" spans="2:13" s="1" customFormat="1" ht="25.5" customHeight="1">
      <c r="B25" s="10" t="str">
        <f>TRIM(IF(PREENCHER!$C28=0,"",PREENCHER!$C28))</f>
        <v/>
      </c>
      <c r="C25" s="11" t="str">
        <f>IFERROR(LEFT(PREENCHER!$D28,(SEARCH(" ",PREENCHER!$D28,1)-1)),"")</f>
        <v/>
      </c>
      <c r="D25" s="11">
        <f>PREENCHER!$G28</f>
        <v>0</v>
      </c>
      <c r="E25" s="39"/>
      <c r="F25" s="40"/>
      <c r="G25" s="12" t="str">
        <f>IF(B25&lt;&gt;"",PREENCHER!$C$5,"/")</f>
        <v>/</v>
      </c>
      <c r="H25" s="13" t="str">
        <f>IF(B25&lt;&gt;"",PREENCHER!$C$6,":")</f>
        <v>:</v>
      </c>
      <c r="I25" s="9"/>
      <c r="J25" s="9"/>
      <c r="K25" s="9" t="s">
        <v>24</v>
      </c>
      <c r="L25" s="9"/>
      <c r="M25" s="6"/>
    </row>
    <row r="26" spans="2:13" s="1" customFormat="1" ht="25.5" customHeight="1">
      <c r="B26" s="10" t="str">
        <f>TRIM(IF(PREENCHER!$C29=0,"",PREENCHER!$C29))</f>
        <v/>
      </c>
      <c r="C26" s="11" t="str">
        <f>IFERROR(LEFT(PREENCHER!$D29,(SEARCH(" ",PREENCHER!$D29,1)-1)),"")</f>
        <v/>
      </c>
      <c r="D26" s="11">
        <f>PREENCHER!$G29</f>
        <v>0</v>
      </c>
      <c r="E26" s="39"/>
      <c r="F26" s="40"/>
      <c r="G26" s="12" t="str">
        <f>IF(B26&lt;&gt;"",PREENCHER!$C$5,"/")</f>
        <v>/</v>
      </c>
      <c r="H26" s="13" t="str">
        <f>IF(B26&lt;&gt;"",PREENCHER!$C$6,":")</f>
        <v>:</v>
      </c>
      <c r="I26" s="9"/>
      <c r="J26" s="9"/>
      <c r="K26" s="9" t="s">
        <v>24</v>
      </c>
      <c r="L26" s="9"/>
      <c r="M26" s="6"/>
    </row>
    <row r="27" spans="2:13" s="1" customFormat="1" ht="25.5" customHeight="1">
      <c r="B27" s="10" t="str">
        <f>TRIM(IF(PREENCHER!$C30=0,"",PREENCHER!$C30))</f>
        <v/>
      </c>
      <c r="C27" s="11" t="str">
        <f>IFERROR(LEFT(PREENCHER!$D30,(SEARCH(" ",PREENCHER!$D30,1)-1)),"")</f>
        <v/>
      </c>
      <c r="D27" s="11">
        <f>PREENCHER!$G30</f>
        <v>0</v>
      </c>
      <c r="E27" s="39"/>
      <c r="F27" s="40"/>
      <c r="G27" s="12" t="str">
        <f>IF(B27&lt;&gt;"",PREENCHER!$C$5,"/")</f>
        <v>/</v>
      </c>
      <c r="H27" s="13" t="str">
        <f>IF(B27&lt;&gt;"",PREENCHER!$C$6,":")</f>
        <v>:</v>
      </c>
      <c r="I27" s="9"/>
      <c r="J27" s="9"/>
      <c r="K27" s="9" t="s">
        <v>24</v>
      </c>
      <c r="L27" s="9"/>
      <c r="M27" s="6"/>
    </row>
    <row r="28" spans="2:13" s="1" customFormat="1" ht="25.5" customHeight="1">
      <c r="B28" s="10" t="str">
        <f>TRIM(IF(PREENCHER!$C31=0,"",PREENCHER!$C31))</f>
        <v/>
      </c>
      <c r="C28" s="11" t="str">
        <f>IFERROR(LEFT(PREENCHER!$D31,(SEARCH(" ",PREENCHER!$D31,1)-1)),"")</f>
        <v/>
      </c>
      <c r="D28" s="11">
        <f>PREENCHER!$G31</f>
        <v>0</v>
      </c>
      <c r="E28" s="39"/>
      <c r="F28" s="40"/>
      <c r="G28" s="12" t="str">
        <f>IF(B28&lt;&gt;"",PREENCHER!$C$5,"/")</f>
        <v>/</v>
      </c>
      <c r="H28" s="13" t="str">
        <f>IF(B28&lt;&gt;"",PREENCHER!$C$6,":")</f>
        <v>:</v>
      </c>
      <c r="I28" s="9"/>
      <c r="J28" s="9"/>
      <c r="K28" s="9" t="s">
        <v>24</v>
      </c>
      <c r="L28" s="9"/>
      <c r="M28" s="6"/>
    </row>
    <row r="29" spans="2:13" s="1" customFormat="1" ht="25.5" customHeight="1">
      <c r="B29" s="10" t="str">
        <f>TRIM(IF(PREENCHER!$C32=0,"",PREENCHER!$C32))</f>
        <v/>
      </c>
      <c r="C29" s="11" t="str">
        <f>IFERROR(LEFT(PREENCHER!$D32,(SEARCH(" ",PREENCHER!$D32,1)-1)),"")</f>
        <v/>
      </c>
      <c r="D29" s="11">
        <f>PREENCHER!$G32</f>
        <v>0</v>
      </c>
      <c r="E29" s="39"/>
      <c r="F29" s="40"/>
      <c r="G29" s="12" t="str">
        <f>IF(B29&lt;&gt;"",PREENCHER!$C$5,"/")</f>
        <v>/</v>
      </c>
      <c r="H29" s="13" t="str">
        <f>IF(B29&lt;&gt;"",PREENCHER!$C$6,":")</f>
        <v>:</v>
      </c>
      <c r="I29" s="9"/>
      <c r="J29" s="9"/>
      <c r="K29" s="9" t="s">
        <v>24</v>
      </c>
      <c r="L29" s="9"/>
      <c r="M29" s="6"/>
    </row>
    <row r="30" spans="2:13" s="1" customFormat="1" ht="25.5" customHeight="1">
      <c r="B30" s="10" t="str">
        <f>TRIM(IF(PREENCHER!$C33=0,"",PREENCHER!$C33))</f>
        <v/>
      </c>
      <c r="C30" s="11" t="str">
        <f>IFERROR(LEFT(PREENCHER!$D33,(SEARCH(" ",PREENCHER!$D33,1)-1)),"")</f>
        <v/>
      </c>
      <c r="D30" s="11">
        <f>PREENCHER!$G33</f>
        <v>0</v>
      </c>
      <c r="E30" s="39"/>
      <c r="F30" s="40"/>
      <c r="G30" s="12" t="str">
        <f>IF(B30&lt;&gt;"",PREENCHER!$C$5,"/")</f>
        <v>/</v>
      </c>
      <c r="H30" s="13" t="str">
        <f>IF(B30&lt;&gt;"",PREENCHER!$C$6,":")</f>
        <v>:</v>
      </c>
      <c r="I30" s="9"/>
      <c r="J30" s="9"/>
      <c r="K30" s="9" t="s">
        <v>24</v>
      </c>
      <c r="L30" s="9"/>
      <c r="M30" s="6"/>
    </row>
    <row r="31" spans="2:13" s="1" customFormat="1" ht="25.5" customHeight="1">
      <c r="B31" s="10" t="str">
        <f>TRIM(IF(PREENCHER!$C34=0,"",PREENCHER!$C34))</f>
        <v/>
      </c>
      <c r="C31" s="11" t="str">
        <f>IFERROR(LEFT(PREENCHER!$D34,(SEARCH(" ",PREENCHER!$D34,1)-1)),"")</f>
        <v/>
      </c>
      <c r="D31" s="11">
        <f>PREENCHER!$G34</f>
        <v>0</v>
      </c>
      <c r="E31" s="39"/>
      <c r="F31" s="40"/>
      <c r="G31" s="12" t="str">
        <f>IF(B31&lt;&gt;"",PREENCHER!$C$5,"/")</f>
        <v>/</v>
      </c>
      <c r="H31" s="13" t="str">
        <f>IF(B31&lt;&gt;"",PREENCHER!$C$6,":")</f>
        <v>:</v>
      </c>
      <c r="I31" s="9"/>
      <c r="J31" s="9"/>
      <c r="K31" s="9" t="s">
        <v>24</v>
      </c>
      <c r="L31" s="9"/>
      <c r="M31" s="6"/>
    </row>
    <row r="32" spans="2:13" s="1" customFormat="1" ht="25.5" customHeight="1">
      <c r="B32" s="10" t="str">
        <f>TRIM(IF(PREENCHER!$C35=0,"",PREENCHER!$C35))</f>
        <v/>
      </c>
      <c r="C32" s="11" t="str">
        <f>IFERROR(LEFT(PREENCHER!$D35,(SEARCH(" ",PREENCHER!$D35,1)-1)),"")</f>
        <v/>
      </c>
      <c r="D32" s="11">
        <f>PREENCHER!$G35</f>
        <v>0</v>
      </c>
      <c r="E32" s="39"/>
      <c r="F32" s="40"/>
      <c r="G32" s="12" t="str">
        <f>IF(B32&lt;&gt;"",PREENCHER!$C$5,"/")</f>
        <v>/</v>
      </c>
      <c r="H32" s="13" t="str">
        <f>IF(B32&lt;&gt;"",PREENCHER!$C$6,":")</f>
        <v>:</v>
      </c>
      <c r="I32" s="9"/>
      <c r="J32" s="9"/>
      <c r="K32" s="9" t="s">
        <v>24</v>
      </c>
      <c r="L32" s="9"/>
      <c r="M32" s="6"/>
    </row>
    <row r="33" spans="2:13" s="1" customFormat="1" ht="25.5" customHeight="1">
      <c r="B33" s="10" t="str">
        <f>TRIM(IF(PREENCHER!$C36=0,"",PREENCHER!$C36))</f>
        <v/>
      </c>
      <c r="C33" s="11" t="str">
        <f>IFERROR(LEFT(PREENCHER!$D36,(SEARCH(" ",PREENCHER!$D36,1)-1)),"")</f>
        <v/>
      </c>
      <c r="D33" s="11">
        <f>PREENCHER!$G36</f>
        <v>0</v>
      </c>
      <c r="E33" s="39"/>
      <c r="F33" s="40"/>
      <c r="G33" s="12" t="str">
        <f>IF(B33&lt;&gt;"",PREENCHER!$C$5,"/")</f>
        <v>/</v>
      </c>
      <c r="H33" s="13" t="str">
        <f>IF(B33&lt;&gt;"",PREENCHER!$C$6,":")</f>
        <v>:</v>
      </c>
      <c r="I33" s="9"/>
      <c r="J33" s="9"/>
      <c r="K33" s="9" t="s">
        <v>24</v>
      </c>
      <c r="L33" s="9"/>
      <c r="M33" s="6"/>
    </row>
    <row r="34" spans="2:13" s="1" customFormat="1" ht="25.5" customHeight="1">
      <c r="B34" s="10" t="str">
        <f>TRIM(IF(PREENCHER!$C37=0,"",PREENCHER!$C37))</f>
        <v/>
      </c>
      <c r="C34" s="11" t="str">
        <f>IFERROR(LEFT(PREENCHER!$D37,(SEARCH(" ",PREENCHER!$D37,1)-1)),"")</f>
        <v/>
      </c>
      <c r="D34" s="11">
        <f>PREENCHER!$G37</f>
        <v>0</v>
      </c>
      <c r="E34" s="39"/>
      <c r="F34" s="40"/>
      <c r="G34" s="12" t="str">
        <f>IF(B34&lt;&gt;"",PREENCHER!$C$5,"/")</f>
        <v>/</v>
      </c>
      <c r="H34" s="13" t="str">
        <f>IF(B34&lt;&gt;"",PREENCHER!$C$6,":")</f>
        <v>:</v>
      </c>
      <c r="I34" s="9"/>
      <c r="J34" s="9"/>
      <c r="K34" s="9" t="s">
        <v>24</v>
      </c>
      <c r="L34" s="9"/>
      <c r="M34" s="6"/>
    </row>
    <row r="35" spans="2:13" s="1" customFormat="1" ht="25.5" customHeight="1">
      <c r="B35" s="10" t="str">
        <f>TRIM(IF(PREENCHER!$C38=0,"",PREENCHER!$C38))</f>
        <v/>
      </c>
      <c r="C35" s="11" t="str">
        <f>IFERROR(LEFT(PREENCHER!$D38,(SEARCH(" ",PREENCHER!$D38,1)-1)),"")</f>
        <v/>
      </c>
      <c r="D35" s="11">
        <f>PREENCHER!$G38</f>
        <v>0</v>
      </c>
      <c r="E35" s="39"/>
      <c r="F35" s="40"/>
      <c r="G35" s="12" t="str">
        <f>IF(B35&lt;&gt;"",PREENCHER!$C$5,"/")</f>
        <v>/</v>
      </c>
      <c r="H35" s="13" t="str">
        <f>IF(B35&lt;&gt;"",PREENCHER!$C$6,":")</f>
        <v>:</v>
      </c>
      <c r="I35" s="9"/>
      <c r="J35" s="9"/>
      <c r="K35" s="9" t="s">
        <v>24</v>
      </c>
      <c r="L35" s="9"/>
      <c r="M35" s="6"/>
    </row>
    <row r="36" spans="2:13" s="1" customFormat="1" ht="25.5" customHeight="1">
      <c r="B36" s="10" t="str">
        <f>TRIM(IF(PREENCHER!$C39=0,"",PREENCHER!$C39))</f>
        <v/>
      </c>
      <c r="C36" s="11" t="str">
        <f>IFERROR(LEFT(PREENCHER!$D39,(SEARCH(" ",PREENCHER!$D39,1)-1)),"")</f>
        <v/>
      </c>
      <c r="D36" s="11">
        <f>PREENCHER!$G39</f>
        <v>0</v>
      </c>
      <c r="E36" s="39"/>
      <c r="F36" s="40"/>
      <c r="G36" s="12" t="str">
        <f>IF(B36&lt;&gt;"",PREENCHER!$C$5,"/")</f>
        <v>/</v>
      </c>
      <c r="H36" s="13" t="str">
        <f>IF(B36&lt;&gt;"",PREENCHER!$C$6,":")</f>
        <v>:</v>
      </c>
      <c r="I36" s="9"/>
      <c r="J36" s="9"/>
      <c r="K36" s="9" t="s">
        <v>24</v>
      </c>
      <c r="L36" s="9"/>
      <c r="M36" s="6"/>
    </row>
    <row r="37" spans="2:13" s="1" customFormat="1" ht="25.5" customHeight="1">
      <c r="B37" s="10" t="str">
        <f>TRIM(IF(PREENCHER!$C40=0,"",PREENCHER!$C40))</f>
        <v/>
      </c>
      <c r="C37" s="11" t="str">
        <f>IFERROR(LEFT(PREENCHER!$D40,(SEARCH(" ",PREENCHER!$D40,1)-1)),"")</f>
        <v/>
      </c>
      <c r="D37" s="11">
        <f>PREENCHER!$G40</f>
        <v>0</v>
      </c>
      <c r="E37" s="39"/>
      <c r="F37" s="40"/>
      <c r="G37" s="12" t="str">
        <f>IF(B37&lt;&gt;"",PREENCHER!$C$5,"/")</f>
        <v>/</v>
      </c>
      <c r="H37" s="13" t="str">
        <f>IF(B37&lt;&gt;"",PREENCHER!$C$6,":")</f>
        <v>:</v>
      </c>
      <c r="I37" s="9"/>
      <c r="J37" s="9"/>
      <c r="K37" s="9" t="s">
        <v>24</v>
      </c>
      <c r="L37" s="9"/>
      <c r="M37" s="6"/>
    </row>
    <row r="38" spans="2:13" s="1" customFormat="1" ht="25.5" customHeight="1">
      <c r="B38" s="10" t="str">
        <f>TRIM(IF(PREENCHER!$C41=0,"",PREENCHER!$C41))</f>
        <v/>
      </c>
      <c r="C38" s="11" t="str">
        <f>IFERROR(LEFT(PREENCHER!$D41,(SEARCH(" ",PREENCHER!$D41,1)-1)),"")</f>
        <v/>
      </c>
      <c r="D38" s="11">
        <f>PREENCHER!$G41</f>
        <v>0</v>
      </c>
      <c r="E38" s="39"/>
      <c r="F38" s="40"/>
      <c r="G38" s="12" t="str">
        <f>IF(B38&lt;&gt;"",PREENCHER!$C$5,"/")</f>
        <v>/</v>
      </c>
      <c r="H38" s="13" t="str">
        <f>IF(B38&lt;&gt;"",PREENCHER!$C$6,":")</f>
        <v>:</v>
      </c>
      <c r="I38" s="9"/>
      <c r="J38" s="9"/>
      <c r="K38" s="9" t="s">
        <v>24</v>
      </c>
      <c r="L38" s="9"/>
      <c r="M38" s="6"/>
    </row>
    <row r="39" spans="2:13" s="1" customFormat="1" ht="25.5" customHeight="1">
      <c r="B39" s="10" t="str">
        <f>TRIM(IF(PREENCHER!$C42=0,"",PREENCHER!$C42))</f>
        <v/>
      </c>
      <c r="C39" s="11" t="str">
        <f>IFERROR(LEFT(PREENCHER!$D42,(SEARCH(" ",PREENCHER!$D42,1)-1)),"")</f>
        <v/>
      </c>
      <c r="D39" s="11">
        <f>PREENCHER!$G42</f>
        <v>0</v>
      </c>
      <c r="E39" s="39"/>
      <c r="F39" s="40"/>
      <c r="G39" s="12" t="str">
        <f>IF(B39&lt;&gt;"",PREENCHER!$C$5,"/")</f>
        <v>/</v>
      </c>
      <c r="H39" s="13" t="str">
        <f>IF(B39&lt;&gt;"",PREENCHER!$C$6,":")</f>
        <v>:</v>
      </c>
      <c r="I39" s="9"/>
      <c r="J39" s="9"/>
      <c r="K39" s="9" t="s">
        <v>24</v>
      </c>
      <c r="L39" s="9"/>
      <c r="M39" s="6"/>
    </row>
    <row r="40" spans="2:13" s="1" customFormat="1" ht="25.5" customHeight="1">
      <c r="B40" s="10" t="str">
        <f>TRIM(IF(PREENCHER!$C43=0,"",PREENCHER!$C43))</f>
        <v/>
      </c>
      <c r="C40" s="11" t="str">
        <f>IFERROR(LEFT(PREENCHER!$D43,(SEARCH(" ",PREENCHER!$D43,1)-1)),"")</f>
        <v/>
      </c>
      <c r="D40" s="11">
        <f>PREENCHER!$G43</f>
        <v>0</v>
      </c>
      <c r="E40" s="39"/>
      <c r="F40" s="40"/>
      <c r="G40" s="12" t="str">
        <f>IF(B40&lt;&gt;"",PREENCHER!$C$5,"/")</f>
        <v>/</v>
      </c>
      <c r="H40" s="13" t="str">
        <f>IF(B40&lt;&gt;"",PREENCHER!$C$6,":")</f>
        <v>:</v>
      </c>
      <c r="I40" s="9"/>
      <c r="J40" s="9"/>
      <c r="K40" s="9" t="s">
        <v>24</v>
      </c>
      <c r="L40" s="9"/>
      <c r="M40" s="6"/>
    </row>
    <row r="41" spans="2:13" s="1" customFormat="1" ht="25.5" customHeight="1">
      <c r="B41" s="10" t="str">
        <f>TRIM(IF(PREENCHER!$C44=0,"",PREENCHER!$C44))</f>
        <v/>
      </c>
      <c r="C41" s="11" t="str">
        <f>IFERROR(LEFT(PREENCHER!$D44,(SEARCH(" ",PREENCHER!$D44,1)-1)),"")</f>
        <v/>
      </c>
      <c r="D41" s="11">
        <f>PREENCHER!$G44</f>
        <v>0</v>
      </c>
      <c r="E41" s="39"/>
      <c r="F41" s="40"/>
      <c r="G41" s="12" t="str">
        <f>IF(B41&lt;&gt;"",PREENCHER!$C$5,"/")</f>
        <v>/</v>
      </c>
      <c r="H41" s="13" t="str">
        <f>IF(B41&lt;&gt;"",PREENCHER!$C$6,":")</f>
        <v>:</v>
      </c>
      <c r="I41" s="9"/>
      <c r="J41" s="9"/>
      <c r="K41" s="9" t="s">
        <v>24</v>
      </c>
      <c r="L41" s="9"/>
      <c r="M41" s="6"/>
    </row>
    <row r="42" spans="2:13" s="1" customFormat="1" ht="25.5" customHeight="1">
      <c r="B42" s="10" t="str">
        <f>TRIM(IF(PREENCHER!$C45=0,"",PREENCHER!$C45))</f>
        <v/>
      </c>
      <c r="C42" s="11" t="str">
        <f>IFERROR(LEFT(PREENCHER!$D45,(SEARCH(" ",PREENCHER!$D45,1)-1)),"")</f>
        <v/>
      </c>
      <c r="D42" s="11">
        <f>PREENCHER!$G45</f>
        <v>0</v>
      </c>
      <c r="E42" s="39"/>
      <c r="F42" s="40"/>
      <c r="G42" s="12" t="str">
        <f>IF(B42&lt;&gt;"",PREENCHER!$C$5,"/")</f>
        <v>/</v>
      </c>
      <c r="H42" s="13" t="str">
        <f>IF(B42&lt;&gt;"",PREENCHER!$C$6,":")</f>
        <v>:</v>
      </c>
      <c r="I42" s="9"/>
      <c r="J42" s="9"/>
      <c r="K42" s="9" t="s">
        <v>24</v>
      </c>
      <c r="L42" s="9"/>
      <c r="M42" s="6"/>
    </row>
    <row r="43" spans="2:13" s="1" customFormat="1" ht="25.5" customHeight="1">
      <c r="B43" s="10" t="str">
        <f>TRIM(IF(PREENCHER!$C46=0,"",PREENCHER!$C46))</f>
        <v/>
      </c>
      <c r="C43" s="11" t="str">
        <f>IFERROR(LEFT(PREENCHER!$D46,(SEARCH(" ",PREENCHER!$D46,1)-1)),"")</f>
        <v/>
      </c>
      <c r="D43" s="11">
        <f>PREENCHER!$G46</f>
        <v>0</v>
      </c>
      <c r="E43" s="39"/>
      <c r="F43" s="40"/>
      <c r="G43" s="12" t="str">
        <f>IF(B43&lt;&gt;"",PREENCHER!$C$5,"/")</f>
        <v>/</v>
      </c>
      <c r="H43" s="13" t="str">
        <f>IF(B43&lt;&gt;"",PREENCHER!$C$6,":")</f>
        <v>:</v>
      </c>
      <c r="I43" s="9"/>
      <c r="J43" s="9"/>
      <c r="K43" s="9" t="s">
        <v>24</v>
      </c>
      <c r="L43" s="9"/>
      <c r="M43" s="6"/>
    </row>
    <row r="44" spans="2:13" s="1" customFormat="1" ht="25.5" customHeight="1">
      <c r="B44" s="10" t="str">
        <f>TRIM(IF(PREENCHER!$C47=0,"",PREENCHER!$C47))</f>
        <v/>
      </c>
      <c r="C44" s="11" t="str">
        <f>IFERROR(LEFT(PREENCHER!$D47,(SEARCH(" ",PREENCHER!$D47,1)-1)),"")</f>
        <v/>
      </c>
      <c r="D44" s="11">
        <f>PREENCHER!$G47</f>
        <v>0</v>
      </c>
      <c r="E44" s="39"/>
      <c r="F44" s="40"/>
      <c r="G44" s="12" t="str">
        <f>IF(B44&lt;&gt;"",PREENCHER!$C$5,"/")</f>
        <v>/</v>
      </c>
      <c r="H44" s="13" t="str">
        <f>IF(B44&lt;&gt;"",PREENCHER!$C$6,":")</f>
        <v>:</v>
      </c>
      <c r="I44" s="9"/>
      <c r="J44" s="9"/>
      <c r="K44" s="9" t="s">
        <v>24</v>
      </c>
      <c r="L44" s="9"/>
      <c r="M44" s="6"/>
    </row>
    <row r="45" spans="2:13" s="1" customFormat="1" ht="25.5" customHeight="1">
      <c r="B45" s="10" t="str">
        <f>TRIM(IF(PREENCHER!$C48=0,"",PREENCHER!$C48))</f>
        <v/>
      </c>
      <c r="C45" s="11" t="str">
        <f>IFERROR(LEFT(PREENCHER!$D48,(SEARCH(" ",PREENCHER!$D48,1)-1)),"")</f>
        <v/>
      </c>
      <c r="D45" s="11">
        <f>PREENCHER!$G48</f>
        <v>0</v>
      </c>
      <c r="E45" s="39"/>
      <c r="F45" s="40"/>
      <c r="G45" s="12" t="str">
        <f>IF(B45&lt;&gt;"",PREENCHER!$C$5,"/")</f>
        <v>/</v>
      </c>
      <c r="H45" s="13" t="str">
        <f>IF(B45&lt;&gt;"",PREENCHER!$C$6,":")</f>
        <v>:</v>
      </c>
      <c r="I45" s="9"/>
      <c r="J45" s="9"/>
      <c r="K45" s="9" t="s">
        <v>24</v>
      </c>
      <c r="L45" s="9"/>
      <c r="M45" s="6"/>
    </row>
    <row r="46" spans="2:13" s="1" customFormat="1" ht="25.5" customHeight="1">
      <c r="B46" s="10" t="str">
        <f>TRIM(IF(PREENCHER!$C49=0,"",PREENCHER!$C49))</f>
        <v/>
      </c>
      <c r="C46" s="11" t="str">
        <f>IFERROR(LEFT(PREENCHER!$D49,(SEARCH(" ",PREENCHER!$D49,1)-1)),"")</f>
        <v/>
      </c>
      <c r="D46" s="11">
        <f>PREENCHER!$G49</f>
        <v>0</v>
      </c>
      <c r="E46" s="39"/>
      <c r="F46" s="40"/>
      <c r="G46" s="12" t="str">
        <f>IF(B46&lt;&gt;"",PREENCHER!$C$5,"/")</f>
        <v>/</v>
      </c>
      <c r="H46" s="13" t="str">
        <f>IF(B46&lt;&gt;"",PREENCHER!$C$6,":")</f>
        <v>:</v>
      </c>
      <c r="I46" s="9"/>
      <c r="J46" s="9"/>
      <c r="K46" s="9" t="s">
        <v>24</v>
      </c>
      <c r="L46" s="9"/>
      <c r="M46" s="6"/>
    </row>
    <row r="47" spans="2:13" s="1" customFormat="1" ht="25.5" customHeight="1">
      <c r="B47" s="10" t="str">
        <f>TRIM(IF(PREENCHER!$C50=0,"",PREENCHER!$C50))</f>
        <v/>
      </c>
      <c r="C47" s="11" t="str">
        <f>IFERROR(LEFT(PREENCHER!$D50,(SEARCH(" ",PREENCHER!$D50,1)-1)),"")</f>
        <v/>
      </c>
      <c r="D47" s="11">
        <f>PREENCHER!$G50</f>
        <v>0</v>
      </c>
      <c r="E47" s="39"/>
      <c r="F47" s="40"/>
      <c r="G47" s="12" t="str">
        <f>IF(B47&lt;&gt;"",PREENCHER!$C$5,"/")</f>
        <v>/</v>
      </c>
      <c r="H47" s="13" t="str">
        <f>IF(B47&lt;&gt;"",PREENCHER!$C$6,":")</f>
        <v>:</v>
      </c>
      <c r="I47" s="9"/>
      <c r="J47" s="9"/>
      <c r="K47" s="9" t="s">
        <v>24</v>
      </c>
      <c r="L47" s="9"/>
      <c r="M47" s="6"/>
    </row>
    <row r="48" spans="2:13" s="1" customFormat="1" ht="25.5" customHeight="1">
      <c r="B48" s="10" t="str">
        <f>TRIM(IF(PREENCHER!$C51=0,"",PREENCHER!$C51))</f>
        <v/>
      </c>
      <c r="C48" s="11" t="str">
        <f>IFERROR(LEFT(PREENCHER!$D51,(SEARCH(" ",PREENCHER!$D51,1)-1)),"")</f>
        <v/>
      </c>
      <c r="D48" s="11">
        <f>PREENCHER!$G51</f>
        <v>0</v>
      </c>
      <c r="E48" s="39"/>
      <c r="F48" s="40"/>
      <c r="G48" s="12" t="str">
        <f>IF(B48&lt;&gt;"",PREENCHER!$C$5,"/")</f>
        <v>/</v>
      </c>
      <c r="H48" s="13" t="str">
        <f>IF(B48&lt;&gt;"",PREENCHER!$C$6,":")</f>
        <v>:</v>
      </c>
      <c r="I48" s="9"/>
      <c r="J48" s="9"/>
      <c r="K48" s="9" t="s">
        <v>24</v>
      </c>
      <c r="L48" s="9"/>
      <c r="M48" s="6"/>
    </row>
    <row r="49" spans="2:13" ht="31.5" customHeight="1">
      <c r="B49" s="46" t="s">
        <v>25</v>
      </c>
      <c r="C49" s="46"/>
      <c r="D49" s="46"/>
      <c r="E49" s="46"/>
      <c r="F49" s="46"/>
      <c r="G49" s="46"/>
      <c r="H49" s="46"/>
      <c r="I49" s="46"/>
      <c r="J49" s="46"/>
      <c r="K49" s="46"/>
      <c r="L49" s="46"/>
      <c r="M49" s="6"/>
    </row>
  </sheetData>
  <sheetProtection selectLockedCells="1" selectUnlockedCells="1"/>
  <mergeCells count="53">
    <mergeCell ref="C1:L1"/>
    <mergeCell ref="B49:L49"/>
    <mergeCell ref="B2:D2"/>
    <mergeCell ref="E2:G2"/>
    <mergeCell ref="I2:J2"/>
    <mergeCell ref="C3:F3"/>
    <mergeCell ref="G3:I3"/>
    <mergeCell ref="E4:F4"/>
    <mergeCell ref="E5:F5"/>
    <mergeCell ref="E6:F6"/>
    <mergeCell ref="E18:F18"/>
    <mergeCell ref="E7:F7"/>
    <mergeCell ref="E8:F8"/>
    <mergeCell ref="E9:F9"/>
    <mergeCell ref="E10:F10"/>
    <mergeCell ref="E11:F11"/>
    <mergeCell ref="E12:F12"/>
    <mergeCell ref="E13:F13"/>
    <mergeCell ref="E14:F14"/>
    <mergeCell ref="E15:F15"/>
    <mergeCell ref="E16:F16"/>
    <mergeCell ref="E17:F17"/>
    <mergeCell ref="E38:F38"/>
    <mergeCell ref="E19:F19"/>
    <mergeCell ref="E20:F20"/>
    <mergeCell ref="E21:F21"/>
    <mergeCell ref="E22:F22"/>
    <mergeCell ref="E23:F23"/>
    <mergeCell ref="E24:F24"/>
    <mergeCell ref="E33:F33"/>
    <mergeCell ref="E34:F34"/>
    <mergeCell ref="E35:F35"/>
    <mergeCell ref="E25:F25"/>
    <mergeCell ref="E26:F26"/>
    <mergeCell ref="E27:F27"/>
    <mergeCell ref="E28:F28"/>
    <mergeCell ref="E29:F29"/>
    <mergeCell ref="E48:F48"/>
    <mergeCell ref="J3:L3"/>
    <mergeCell ref="E42:F42"/>
    <mergeCell ref="E43:F43"/>
    <mergeCell ref="E44:F44"/>
    <mergeCell ref="E45:F45"/>
    <mergeCell ref="E46:F46"/>
    <mergeCell ref="E47:F47"/>
    <mergeCell ref="E36:F36"/>
    <mergeCell ref="E37:F37"/>
    <mergeCell ref="E39:F39"/>
    <mergeCell ref="E40:F40"/>
    <mergeCell ref="E41:F41"/>
    <mergeCell ref="E30:F30"/>
    <mergeCell ref="E31:F31"/>
    <mergeCell ref="E32:F32"/>
  </mergeCells>
  <conditionalFormatting sqref="A2:M1048576 M1 A1:C1">
    <cfRule type="cellIs" dxfId="4" priority="2" operator="equal">
      <formula>0</formula>
    </cfRule>
  </conditionalFormatting>
  <pageMargins left="0.28680555555555554" right="0.15763888888888888" top="0.15763888888888888" bottom="0.15763888888888888" header="0.51180555555555551" footer="0.51180555555555551"/>
  <pageSetup paperSize="9" scale="56" firstPageNumber="0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3B0F0-B7F5-4646-A3F5-8E15A929B780}">
  <sheetPr codeName="Planilha3">
    <tabColor theme="7" tint="0.59999389629810485"/>
  </sheetPr>
  <dimension ref="A1:A11"/>
  <sheetViews>
    <sheetView view="pageLayout" zoomScaleNormal="55" workbookViewId="0"/>
  </sheetViews>
  <sheetFormatPr defaultRowHeight="12.75"/>
  <cols>
    <col min="1" max="1" width="89.28515625" customWidth="1"/>
  </cols>
  <sheetData>
    <row r="1" spans="1:1" ht="59.25" customHeight="1">
      <c r="A1" s="16" t="s">
        <v>26</v>
      </c>
    </row>
    <row r="2" spans="1:1" ht="45.75">
      <c r="A2" s="16" t="s">
        <v>27</v>
      </c>
    </row>
    <row r="3" spans="1:1" ht="73.5" customHeight="1">
      <c r="A3" s="17">
        <f>PREENCHER!C2</f>
        <v>0</v>
      </c>
    </row>
    <row r="4" spans="1:1" ht="45.75">
      <c r="A4" s="18" t="s">
        <v>28</v>
      </c>
    </row>
    <row r="5" spans="1:1" ht="91.5" customHeight="1">
      <c r="A5" s="18">
        <f>PREENCHER!B8</f>
        <v>0</v>
      </c>
    </row>
    <row r="6" spans="1:1" ht="45.75">
      <c r="A6" s="16" t="s">
        <v>29</v>
      </c>
    </row>
    <row r="7" spans="1:1" ht="90" customHeight="1">
      <c r="A7" s="18">
        <f>PREENCHER!C3</f>
        <v>0</v>
      </c>
    </row>
    <row r="8" spans="1:1" ht="45.75">
      <c r="A8" s="16" t="s">
        <v>30</v>
      </c>
    </row>
    <row r="9" spans="1:1" ht="90" customHeight="1">
      <c r="A9" s="18">
        <f>PREENCHER!C4</f>
        <v>0</v>
      </c>
    </row>
    <row r="10" spans="1:1" ht="45.75">
      <c r="A10" s="16" t="s">
        <v>31</v>
      </c>
    </row>
    <row r="11" spans="1:1" ht="111.75" customHeight="1">
      <c r="A11" s="19" t="s">
        <v>32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30630577B270F489A9D14ED92DE9496" ma:contentTypeVersion="11" ma:contentTypeDescription="Create a new document." ma:contentTypeScope="" ma:versionID="197d046fd97ebc6902a7130b8adc823c">
  <xsd:schema xmlns:xsd="http://www.w3.org/2001/XMLSchema" xmlns:xs="http://www.w3.org/2001/XMLSchema" xmlns:p="http://schemas.microsoft.com/office/2006/metadata/properties" xmlns:ns2="28fc3e16-acba-4ca1-8acc-dbff4a071791" xmlns:ns3="312630cc-895f-4ba8-85f5-a45044cf74d0" targetNamespace="http://schemas.microsoft.com/office/2006/metadata/properties" ma:root="true" ma:fieldsID="5f485446ec0652bebb6774d59be7140c" ns2:_="" ns3:_="">
    <xsd:import namespace="28fc3e16-acba-4ca1-8acc-dbff4a071791"/>
    <xsd:import namespace="312630cc-895f-4ba8-85f5-a45044cf74d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8fc3e16-acba-4ca1-8acc-dbff4a07179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12630cc-895f-4ba8-85f5-a45044cf74d0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E50A6D0E-39E4-465D-99FB-6F21D48E96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8fc3e16-acba-4ca1-8acc-dbff4a071791"/>
    <ds:schemaRef ds:uri="312630cc-895f-4ba8-85f5-a45044cf74d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660AA5D-BDEB-4B43-BCEF-67179059C04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375229C-465B-444E-812E-98A7829476DD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2</vt:i4>
      </vt:variant>
    </vt:vector>
  </HeadingPairs>
  <TitlesOfParts>
    <vt:vector size="5" baseType="lpstr">
      <vt:lpstr>PREENCHER</vt:lpstr>
      <vt:lpstr>DOUBLECHECK</vt:lpstr>
      <vt:lpstr>MASCARA</vt:lpstr>
      <vt:lpstr>DOUBLECHECK!Area_de_impressao</vt:lpstr>
      <vt:lpstr>PREENCHER!Area_de_impressao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Ana</dc:creator>
  <cp:keywords/>
  <dc:description/>
  <cp:lastModifiedBy>Marina Caroline Ferreira</cp:lastModifiedBy>
  <cp:revision>7</cp:revision>
  <cp:lastPrinted>2022-07-05T17:23:57Z</cp:lastPrinted>
  <dcterms:created xsi:type="dcterms:W3CDTF">2012-07-05T15:25:04Z</dcterms:created>
  <dcterms:modified xsi:type="dcterms:W3CDTF">2022-07-05T17:24:22Z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0x010100D30630577B270F489A9D14ED92DE9496</vt:lpwstr>
  </property>
</Properties>
</file>